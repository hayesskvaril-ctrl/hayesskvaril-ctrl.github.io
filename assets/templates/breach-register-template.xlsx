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Lists" sheetId="2" state="visible" r:id="rId4"/>
    <sheet name="Breach register" sheetId="3" state="visible" r:id="rId5"/>
    <sheet name="Dashboard" sheetId="4" state="visible" r:id="rId6"/>
  </sheets>
  <definedNames>
    <definedName function="false" hidden="true" localSheetId="2" name="_xlnm._FilterDatabase" vbProcedure="false">'Breach register'!$A$4:$AG$104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<sst xmlns="http://schemas.openxmlformats.org/spreadsheetml/2006/main" count="137" uniqueCount="121">
  <si>
    <t xml:space="preserve">Breach register template</t>
  </si>
  <si>
    <t xml:space="preserve">RiskLens Australia · free template · version 1.0 (September 2026)</t>
  </si>
  <si>
    <t xml:space="preserve">What this is</t>
  </si>
  <si>
    <t xml:space="preserve">A register for recording breaches and possible breaches of obligations, assessing whether they must be reported, tracking notification deadlines, and following remediation through to closure. Background: https://hayesskvaril-ctrl.github.io/risk-management/incident-and-breach-management.html</t>
  </si>
  <si>
    <t xml:space="preserve">How to use it</t>
  </si>
  <si>
    <t xml:space="preserve">1. Log every breach or possible breach as soon as it is identified, including the date the organisation became aware.
2. Assess significance and record your reasoning, especially where you decide a matter is not reportable.
3. For each regulator, record whether a report is needed, the deadline and the date lodged. The ASIC deadline calculates automatically.
4. Track root cause, corrective actions and customer remediation until closure.
5. The 'Dashboard' tab summarises the register for management and board reporting.</t>
  </si>
  <si>
    <t xml:space="preserve">ASIC deadline</t>
  </si>
  <si>
    <t xml:space="preserve">For ASIC reportable situations, the register calculates 30 calendar days from the 'Date aware' column. That is when the licensee first knew of, or was reckless about, reasonable grounds to believe a reportable situation had arisen. Check RG 78 and any current ASIC relief for your circumstances.</t>
  </si>
  <si>
    <t xml:space="preserve">Other deadlines</t>
  </si>
  <si>
    <t xml:space="preserve">APRA, OAIC, AUSTRAC and other deadlines vary by regime (from 24 hours to 30 days). Enter those deadline dates yourself. See https://hayesskvaril-ctrl.github.io/compliance/breach-reporting.html</t>
  </si>
  <si>
    <t xml:space="preserve">Colour key</t>
  </si>
  <si>
    <t xml:space="preserve">Pale yellow cells: fill these in (many have drop-down lists).
Grey-blue cells: calculated automatically; don't type over them.
Green row: a worked example. Replace or delete it.</t>
  </si>
  <si>
    <t xml:space="preserve">Status formulas</t>
  </si>
  <si>
    <t xml:space="preserve">Deadline status shows 'Due in X days', 'OVERDUE', 'On time' or 'Late', and uses today's date, so it updates each time the file is opened.</t>
  </si>
  <si>
    <t xml:space="preserve">Important</t>
  </si>
  <si>
    <t xml:space="preserve">RiskLens Australia provides general educational information only. It is not legal, financial or compliance advice and does not take into account your circumstances. Always refer to the official legislation and regulator guidance, and seek professional advice where appropriate.</t>
  </si>
  <si>
    <t xml:space="preserve">Fill in</t>
  </si>
  <si>
    <t xml:space="preserve">Calculated</t>
  </si>
  <si>
    <t xml:space="preserve">Example</t>
  </si>
  <si>
    <t xml:space="preserve">Drop-down lists</t>
  </si>
  <si>
    <t xml:space="preserve">Edit these values to suit your organisation. The register's drop-downs read from this tab.</t>
  </si>
  <si>
    <t xml:space="preserve">Source of obligation</t>
  </si>
  <si>
    <t xml:space="preserve">How identified</t>
  </si>
  <si>
    <t xml:space="preserve">Yes / No</t>
  </si>
  <si>
    <t xml:space="preserve">Remediation status</t>
  </si>
  <si>
    <t xml:space="preserve">Breach status</t>
  </si>
  <si>
    <t xml:space="preserve">Corporations Act</t>
  </si>
  <si>
    <t xml:space="preserve">Control / monitoring</t>
  </si>
  <si>
    <t xml:space="preserve">Yes</t>
  </si>
  <si>
    <t xml:space="preserve">Not required</t>
  </si>
  <si>
    <t xml:space="preserve">Open</t>
  </si>
  <si>
    <t xml:space="preserve">SIS Act / Regulations</t>
  </si>
  <si>
    <t xml:space="preserve">Complaint</t>
  </si>
  <si>
    <t xml:space="preserve">No</t>
  </si>
  <si>
    <t xml:space="preserve">Scoping</t>
  </si>
  <si>
    <t xml:space="preserve">Under investigation</t>
  </si>
  <si>
    <t xml:space="preserve">National Credit Act</t>
  </si>
  <si>
    <t xml:space="preserve">Staff report</t>
  </si>
  <si>
    <t xml:space="preserve">Under assessment</t>
  </si>
  <si>
    <t xml:space="preserve">Calculating</t>
  </si>
  <si>
    <t xml:space="preserve">Remediation in progress</t>
  </si>
  <si>
    <t xml:space="preserve">ASIC Act</t>
  </si>
  <si>
    <t xml:space="preserve">Internal audit</t>
  </si>
  <si>
    <t xml:space="preserve">N/A</t>
  </si>
  <si>
    <t xml:space="preserve">Paying</t>
  </si>
  <si>
    <t xml:space="preserve">Closed</t>
  </si>
  <si>
    <t xml:space="preserve">ASIC instrument or RG</t>
  </si>
  <si>
    <t xml:space="preserve">External audit</t>
  </si>
  <si>
    <t xml:space="preserve">Complete</t>
  </si>
  <si>
    <t xml:space="preserve">APRA prudential standard</t>
  </si>
  <si>
    <t xml:space="preserve">Service provider</t>
  </si>
  <si>
    <t xml:space="preserve">Privacy Act</t>
  </si>
  <si>
    <t xml:space="preserve">Regulator</t>
  </si>
  <si>
    <t xml:space="preserve">AML/CTF Act</t>
  </si>
  <si>
    <t xml:space="preserve">Whistleblower</t>
  </si>
  <si>
    <t xml:space="preserve">Industry code</t>
  </si>
  <si>
    <t xml:space="preserve">Other</t>
  </si>
  <si>
    <t xml:space="preserve">Licence condition</t>
  </si>
  <si>
    <t xml:space="preserve">Contract</t>
  </si>
  <si>
    <t xml:space="preserve">Internal policy</t>
  </si>
  <si>
    <t xml:space="preserve">Breach register</t>
  </si>
  <si>
    <t xml:space="preserve">Fill in the pale yellow cells. Deadlines, status and days open calculate automatically.</t>
  </si>
  <si>
    <t xml:space="preserve">Breach ID</t>
  </si>
  <si>
    <t xml:space="preserve">Date identified</t>
  </si>
  <si>
    <t xml:space="preserve">Date aware (clock start)</t>
  </si>
  <si>
    <t xml:space="preserve">Description</t>
  </si>
  <si>
    <t xml:space="preserve">Business unit</t>
  </si>
  <si>
    <t xml:space="preserve">Obligation breached</t>
  </si>
  <si>
    <t xml:space="preserve">Breach owner</t>
  </si>
  <si>
    <t xml:space="preserve">Customers / members affected</t>
  </si>
  <si>
    <t xml:space="preserve">Estimated financial impact ($)</t>
  </si>
  <si>
    <t xml:space="preserve">Significant?</t>
  </si>
  <si>
    <t xml:space="preserve">Significance reasoning</t>
  </si>
  <si>
    <t xml:space="preserve">ASIC report required?</t>
  </si>
  <si>
    <t xml:space="preserve">ASIC deadline (30 days)</t>
  </si>
  <si>
    <t xml:space="preserve">ASIC lodged date</t>
  </si>
  <si>
    <t xml:space="preserve">ASIC status</t>
  </si>
  <si>
    <t xml:space="preserve">APRA notification required?</t>
  </si>
  <si>
    <t xml:space="preserve">APRA deadline</t>
  </si>
  <si>
    <t xml:space="preserve">APRA notified date</t>
  </si>
  <si>
    <t xml:space="preserve">APRA status</t>
  </si>
  <si>
    <t xml:space="preserve">OAIC data breach?</t>
  </si>
  <si>
    <t xml:space="preserve">Other notifications (AUSTRAC, customers, others)</t>
  </si>
  <si>
    <t xml:space="preserve">Customer remediation required?</t>
  </si>
  <si>
    <t xml:space="preserve">Root cause</t>
  </si>
  <si>
    <t xml:space="preserve">Corrective actions</t>
  </si>
  <si>
    <t xml:space="preserve">Action owner</t>
  </si>
  <si>
    <t xml:space="preserve">Action due date</t>
  </si>
  <si>
    <t xml:space="preserve">Date closed</t>
  </si>
  <si>
    <t xml:space="preserve">Days open</t>
  </si>
  <si>
    <t xml:space="preserve">Notes</t>
  </si>
  <si>
    <t xml:space="preserve">B-2026-001</t>
  </si>
  <si>
    <t xml:space="preserve">Administration fee calculated on the wrong basis for about 3,000 members since a product change 18 months ago.</t>
  </si>
  <si>
    <t xml:space="preserve">Operations</t>
  </si>
  <si>
    <t xml:space="preserve">Charging fees not permitted by the governing rules / PDS; efficiently, honestly and fairly (s 912A)</t>
  </si>
  <si>
    <t xml:space="preserve">Head of Operations</t>
  </si>
  <si>
    <t xml:space="preserve">Likely to cause material loss to members across a large group; treated as deemed significant.</t>
  </si>
  <si>
    <t xml:space="preserve">Board Risk Committee informed 10/09/2026</t>
  </si>
  <si>
    <t xml:space="preserve">Product change testing did not include fee calculation scenarios.</t>
  </si>
  <si>
    <t xml:space="preserve">Fix calculation; add fee scenarios to change testing; monthly independent fee reconciliation.</t>
  </si>
  <si>
    <t xml:space="preserve">Product Manager</t>
  </si>
  <si>
    <t xml:space="preserve">One report to APRA containing all ASIC-required information can count as lodgement with ASIC for RSE licensees.</t>
  </si>
  <si>
    <t xml:space="preserve">Breach register dashboard</t>
  </si>
  <si>
    <t xml:space="preserve">Updates automatically from the Breach register tab. Uses today's date for overdue checks.</t>
  </si>
  <si>
    <t xml:space="preserve">Measure</t>
  </si>
  <si>
    <t xml:space="preserve">Count</t>
  </si>
  <si>
    <t xml:space="preserve">Breaches recorded</t>
  </si>
  <si>
    <t xml:space="preserve">Open (not closed)</t>
  </si>
  <si>
    <t xml:space="preserve">Assessed as significant</t>
  </si>
  <si>
    <t xml:space="preserve">Still under assessment</t>
  </si>
  <si>
    <t xml:space="preserve">ASIC reports required</t>
  </si>
  <si>
    <t xml:space="preserve">ASIC reports overdue (not yet lodged)</t>
  </si>
  <si>
    <t xml:space="preserve">ASIC reports lodged late</t>
  </si>
  <si>
    <t xml:space="preserve">APRA notifications overdue (not yet made)</t>
  </si>
  <si>
    <t xml:space="preserve">APRA notifications made late</t>
  </si>
  <si>
    <t xml:space="preserve">Customer remediation required</t>
  </si>
  <si>
    <t xml:space="preserve">Customers / members affected (total)</t>
  </si>
  <si>
    <t xml:space="preserve">Estimated financial impact (total $)</t>
  </si>
  <si>
    <t xml:space="preserve">Average days open (open breaches)</t>
  </si>
  <si>
    <t xml:space="preserve">Breaches by source of obligation</t>
  </si>
  <si>
    <t xml:space="preserve">Breaches identified by month (last 12 months)</t>
  </si>
</sst>
</file>

<file path=xl/styles.xml><?xml version="1.0" encoding="utf-8"?>
<styleSheet xmlns="http://schemas.openxmlformats.org/spreadsheetml/2006/main">
  <numFmts count="8">
    <numFmt numFmtId="164" formatCode="General"/>
    <numFmt numFmtId="165" formatCode="dd/mm/yyyy"/>
    <numFmt numFmtId="166" formatCode="#,##0"/>
    <numFmt numFmtId="167" formatCode="\$#,##0;&quot;($&quot;#,##0\);\-"/>
    <numFmt numFmtId="168" formatCode="0"/>
    <numFmt numFmtId="169" formatCode="\$#,##0"/>
    <numFmt numFmtId="170" formatCode="General"/>
    <numFmt numFmtId="171" formatCode="mmm\ yyyy"/>
  </numFmts>
  <fonts count="10">
    <font>
      <sz val="11"/>
      <color theme="1"/>
      <name val="Calibri"/>
      <family val="2"/>
      <charset val="1"/>
    </font>
    <font>
      <sz val="10"/>
      <name val="Arial"/>
      <family val="0"/>
    </font>
    <font>
      <sz val="10"/>
      <name val="Arial"/>
      <family val="0"/>
    </font>
    <font>
      <sz val="10"/>
      <name val="Arial"/>
      <family val="0"/>
    </font>
    <font>
      <b val="true"/>
      <sz val="16"/>
      <color rgb="FF0F2942"/>
      <name val="Arial"/>
      <family val="0"/>
      <charset val="1"/>
    </font>
    <font>
      <i val="true"/>
      <sz val="10"/>
      <color rgb="FF4A5568"/>
      <name val="Arial"/>
      <family val="0"/>
      <charset val="1"/>
    </font>
    <font>
      <b val="true"/>
      <sz val="11"/>
      <color rgb="FF0F2942"/>
      <name val="Arial"/>
      <family val="0"/>
      <charset val="1"/>
    </font>
    <font>
      <sz val="10"/>
      <color rgb="FF000000"/>
      <name val="Arial"/>
      <family val="0"/>
      <charset val="1"/>
    </font>
    <font>
      <b val="true"/>
      <sz val="10"/>
      <color rgb="FF000000"/>
      <name val="Arial"/>
      <family val="0"/>
      <charset val="1"/>
    </font>
    <font>
      <b val="true"/>
      <sz val="10"/>
      <color rgb="FFFFFFFF"/>
      <name val="Arial"/>
      <family val="0"/>
      <charset val="1"/>
    </font>
  </fonts>
  <fills count="6">
    <fill>
      <patternFill patternType="none"/>
    </fill>
    <fill>
      <patternFill patternType="gray125"/>
    </fill>
    <fill>
      <patternFill patternType="solid">
        <fgColor rgb="FFFFF7D6"/>
        <bgColor rgb="FFEEF2F7"/>
      </patternFill>
    </fill>
    <fill>
      <patternFill patternType="solid">
        <fgColor rgb="FFEEF2F7"/>
        <bgColor rgb="FFE7F6EC"/>
      </patternFill>
    </fill>
    <fill>
      <patternFill patternType="solid">
        <fgColor rgb="FFE7F6EC"/>
        <bgColor rgb="FFEEF2F7"/>
      </patternFill>
    </fill>
    <fill>
      <patternFill patternType="solid">
        <fgColor rgb="FF0F2942"/>
        <bgColor rgb="FF333333"/>
      </patternFill>
    </fill>
  </fills>
  <borders count="2">
    <border diagonalUp="false" diagonalDown="false">
      <left/>
      <right/>
      <top/>
      <bottom/>
      <diagonal/>
    </border>
    <border diagonalUp="false" diagonalDown="false">
      <left style="thin">
        <color rgb="FFC9D3E0"/>
      </left>
      <right style="thin">
        <color rgb="FFC9D3E0"/>
      </right>
      <top style="thin">
        <color rgb="FFC9D3E0"/>
      </top>
      <bottom style="thin">
        <color rgb="FFC9D3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center" textRotation="0" wrapText="true" indent="0" shrinkToFit="false"/>
      <protection locked="true" hidden="false"/>
    </xf>
    <xf numFmtId="165" fontId="7" fillId="4"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general" vertical="top" textRotation="0" wrapText="true" indent="0" shrinkToFit="false"/>
      <protection locked="true" hidden="false"/>
    </xf>
    <xf numFmtId="167" fontId="7" fillId="4"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top" textRotation="0" wrapText="true" indent="0" shrinkToFit="false"/>
      <protection locked="true" hidden="false"/>
    </xf>
    <xf numFmtId="168" fontId="7" fillId="3" borderId="1" xfId="0" applyFont="true" applyBorder="true" applyAlignment="true" applyProtection="false">
      <alignment horizontal="general" vertical="top" textRotation="0" wrapText="true" indent="0" shrinkToFit="false"/>
      <protection locked="true" hidden="false"/>
    </xf>
    <xf numFmtId="165" fontId="7" fillId="2" borderId="1" xfId="0" applyFont="true" applyBorder="true" applyAlignment="true" applyProtection="false">
      <alignment horizontal="general" vertical="top" textRotation="0" wrapText="true" indent="0" shrinkToFit="false"/>
      <protection locked="true" hidden="false"/>
    </xf>
    <xf numFmtId="166" fontId="7" fillId="2" borderId="1" xfId="0" applyFont="true" applyBorder="true" applyAlignment="true" applyProtection="false">
      <alignment horizontal="general" vertical="top" textRotation="0" wrapText="true" indent="0" shrinkToFit="false"/>
      <protection locked="true" hidden="false"/>
    </xf>
    <xf numFmtId="167" fontId="7"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8" fontId="7" fillId="3" borderId="1" xfId="0" applyFont="true" applyBorder="true" applyAlignment="true" applyProtection="false">
      <alignment horizontal="center" vertical="top" textRotation="0" wrapText="true" indent="0" shrinkToFit="false"/>
      <protection locked="true" hidden="false"/>
    </xf>
    <xf numFmtId="169" fontId="7" fillId="3" borderId="1" xfId="0" applyFont="true" applyBorder="true" applyAlignment="true" applyProtection="false">
      <alignment horizontal="center" vertical="top" textRotation="0" wrapText="true" indent="0" shrinkToFit="false"/>
      <protection locked="true" hidden="false"/>
    </xf>
    <xf numFmtId="170" fontId="7" fillId="3" borderId="1" xfId="0" applyFont="true" applyBorder="true" applyAlignment="true" applyProtection="false">
      <alignment horizontal="center" vertical="top" textRotation="0" wrapText="true" indent="0" shrinkToFit="false"/>
      <protection locked="true" hidden="false"/>
    </xf>
    <xf numFmtId="171" fontId="7" fillId="0" borderId="1" xfId="0" applyFont="true" applyBorder="tru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0F2942"/>
          <bgColor rgb="FF000000"/>
        </patternFill>
      </fill>
    </dxf>
    <dxf>
      <fill>
        <patternFill patternType="solid">
          <fgColor rgb="FFE7F6EC"/>
          <bgColor rgb="FF000000"/>
        </patternFill>
      </fill>
    </dxf>
    <dxf>
      <fill>
        <patternFill patternType="solid">
          <fgColor rgb="FFFFF7D6"/>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EF2F7"/>
          <bgColor rgb="FF000000"/>
        </patternFill>
      </fill>
    </dxf>
    <dxf>
      <fill>
        <patternFill patternType="solid">
          <fgColor rgb="FFBFE5CB"/>
          <bgColor rgb="FF000000"/>
        </patternFill>
      </fill>
    </dxf>
    <dxf>
      <font>
        <name val="Arial"/>
        <charset val="1"/>
        <family val="0"/>
        <b val="1"/>
        <color rgb="FF000000"/>
        <sz val="10"/>
      </font>
      <fill>
        <patternFill>
          <bgColor rgb="FFFCA5A5"/>
        </patternFill>
      </fill>
    </dxf>
    <dxf>
      <fill>
        <patternFill>
          <bgColor rgb="FFBFE5CB"/>
        </patternFill>
      </fill>
    </dxf>
    <dxf>
      <fill>
        <patternFill>
          <bgColor rgb="FFFDE68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D6"/>
      <rgbColor rgb="FFE7F6EC"/>
      <rgbColor rgb="FF660066"/>
      <rgbColor rgb="FFFF8080"/>
      <rgbColor rgb="FF0066CC"/>
      <rgbColor rgb="FFC9D3E0"/>
      <rgbColor rgb="FF000080"/>
      <rgbColor rgb="FFFF00FF"/>
      <rgbColor rgb="FFFFFF00"/>
      <rgbColor rgb="FF00FFFF"/>
      <rgbColor rgb="FF800080"/>
      <rgbColor rgb="FF800000"/>
      <rgbColor rgb="FF008080"/>
      <rgbColor rgb="FF0000FF"/>
      <rgbColor rgb="FF00CCFF"/>
      <rgbColor rgb="FFEEF2F7"/>
      <rgbColor rgb="FFBFE5CB"/>
      <rgbColor rgb="FFFDE68A"/>
      <rgbColor rgb="FF99CCFF"/>
      <rgbColor rgb="FFFCA5A5"/>
      <rgbColor rgb="FFCC99FF"/>
      <rgbColor rgb="FFFFCC99"/>
      <rgbColor rgb="FF3366FF"/>
      <rgbColor rgb="FF33CCCC"/>
      <rgbColor rgb="FF99CC00"/>
      <rgbColor rgb="FFFFCC00"/>
      <rgbColor rgb="FFFF9900"/>
      <rgbColor rgb="FFFF6600"/>
      <rgbColor rgb="FF4A5568"/>
      <rgbColor rgb="FF969696"/>
      <rgbColor rgb="FF0F2942"/>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00"/>
  </cols>
  <sheetData>
    <row r="1" customFormat="false" ht="25.5" hidden="false" customHeight="true" outlineLevel="0" collapsed="false">
      <c r="A1" s="1" t="s">
        <v>0</v>
      </c>
    </row>
    <row r="2" customFormat="false" ht="15" hidden="false" customHeight="false" outlineLevel="0" collapsed="false">
      <c r="A2" s="2" t="s">
        <v>1</v>
      </c>
    </row>
    <row r="4" customFormat="false" ht="60" hidden="false" customHeight="true" outlineLevel="0" collapsed="false">
      <c r="A4" s="3" t="s">
        <v>2</v>
      </c>
      <c r="B4" s="4" t="s">
        <v>3</v>
      </c>
    </row>
    <row r="5" customFormat="false" ht="150" hidden="false" customHeight="true" outlineLevel="0" collapsed="false">
      <c r="A5" s="3" t="s">
        <v>4</v>
      </c>
      <c r="B5" s="4" t="s">
        <v>5</v>
      </c>
    </row>
    <row r="6" customFormat="false" ht="60" hidden="false" customHeight="true" outlineLevel="0" collapsed="false">
      <c r="A6" s="3" t="s">
        <v>6</v>
      </c>
      <c r="B6" s="4" t="s">
        <v>7</v>
      </c>
    </row>
    <row r="7" customFormat="false" ht="45" hidden="false" customHeight="true" outlineLevel="0" collapsed="false">
      <c r="A7" s="3" t="s">
        <v>8</v>
      </c>
      <c r="B7" s="4" t="s">
        <v>9</v>
      </c>
    </row>
    <row r="8" customFormat="false" ht="60" hidden="false" customHeight="true" outlineLevel="0" collapsed="false">
      <c r="A8" s="3" t="s">
        <v>10</v>
      </c>
      <c r="B8" s="4" t="s">
        <v>11</v>
      </c>
    </row>
    <row r="9" customFormat="false" ht="30" hidden="false" customHeight="true" outlineLevel="0" collapsed="false">
      <c r="A9" s="3" t="s">
        <v>12</v>
      </c>
      <c r="B9" s="4" t="s">
        <v>13</v>
      </c>
    </row>
    <row r="10" customFormat="false" ht="45" hidden="false" customHeight="true" outlineLevel="0" collapsed="false">
      <c r="A10" s="3" t="s">
        <v>14</v>
      </c>
      <c r="B10" s="4" t="s">
        <v>15</v>
      </c>
    </row>
    <row r="12" customFormat="false" ht="15" hidden="false" customHeight="false" outlineLevel="0" collapsed="false">
      <c r="A12" s="5" t="s">
        <v>16</v>
      </c>
    </row>
    <row r="13" customFormat="false" ht="15" hidden="false" customHeight="false" outlineLevel="0" collapsed="false">
      <c r="A13" s="6" t="s">
        <v>17</v>
      </c>
    </row>
    <row r="14" customFormat="false" ht="15" hidden="false" customHeight="false" outlineLevel="0" collapsed="false">
      <c r="A14" s="7" t="s">
        <v>18</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5" min="1" style="0" width="26"/>
  </cols>
  <sheetData>
    <row r="1" customFormat="false" ht="25.5" hidden="false" customHeight="true" outlineLevel="0" collapsed="false">
      <c r="A1" s="1" t="s">
        <v>19</v>
      </c>
    </row>
    <row r="2" customFormat="false" ht="15" hidden="false" customHeight="false" outlineLevel="0" collapsed="false">
      <c r="A2" s="2" t="s">
        <v>20</v>
      </c>
    </row>
    <row r="4" customFormat="false" ht="15" hidden="false" customHeight="false" outlineLevel="0" collapsed="false">
      <c r="A4" s="8" t="s">
        <v>21</v>
      </c>
      <c r="B4" s="8" t="s">
        <v>22</v>
      </c>
      <c r="C4" s="8" t="s">
        <v>23</v>
      </c>
      <c r="D4" s="8" t="s">
        <v>24</v>
      </c>
      <c r="E4" s="8" t="s">
        <v>25</v>
      </c>
    </row>
    <row r="5" customFormat="false" ht="15" hidden="false" customHeight="false" outlineLevel="0" collapsed="false">
      <c r="A5" s="5" t="s">
        <v>26</v>
      </c>
      <c r="B5" s="5" t="s">
        <v>27</v>
      </c>
      <c r="C5" s="5" t="s">
        <v>28</v>
      </c>
      <c r="D5" s="5" t="s">
        <v>29</v>
      </c>
      <c r="E5" s="5" t="s">
        <v>30</v>
      </c>
    </row>
    <row r="6" customFormat="false" ht="15" hidden="false" customHeight="false" outlineLevel="0" collapsed="false">
      <c r="A6" s="5" t="s">
        <v>31</v>
      </c>
      <c r="B6" s="5" t="s">
        <v>32</v>
      </c>
      <c r="C6" s="5" t="s">
        <v>33</v>
      </c>
      <c r="D6" s="5" t="s">
        <v>34</v>
      </c>
      <c r="E6" s="5" t="s">
        <v>35</v>
      </c>
    </row>
    <row r="7" customFormat="false" ht="15" hidden="false" customHeight="false" outlineLevel="0" collapsed="false">
      <c r="A7" s="5" t="s">
        <v>36</v>
      </c>
      <c r="B7" s="5" t="s">
        <v>37</v>
      </c>
      <c r="C7" s="5" t="s">
        <v>38</v>
      </c>
      <c r="D7" s="5" t="s">
        <v>39</v>
      </c>
      <c r="E7" s="5" t="s">
        <v>40</v>
      </c>
    </row>
    <row r="8" customFormat="false" ht="15" hidden="false" customHeight="false" outlineLevel="0" collapsed="false">
      <c r="A8" s="5" t="s">
        <v>41</v>
      </c>
      <c r="B8" s="5" t="s">
        <v>42</v>
      </c>
      <c r="C8" s="5" t="s">
        <v>43</v>
      </c>
      <c r="D8" s="5" t="s">
        <v>44</v>
      </c>
      <c r="E8" s="5" t="s">
        <v>45</v>
      </c>
    </row>
    <row r="9" customFormat="false" ht="15" hidden="false" customHeight="false" outlineLevel="0" collapsed="false">
      <c r="A9" s="5" t="s">
        <v>46</v>
      </c>
      <c r="B9" s="5" t="s">
        <v>47</v>
      </c>
      <c r="D9" s="5" t="s">
        <v>48</v>
      </c>
    </row>
    <row r="10" customFormat="false" ht="15" hidden="false" customHeight="false" outlineLevel="0" collapsed="false">
      <c r="A10" s="5" t="s">
        <v>49</v>
      </c>
      <c r="B10" s="5" t="s">
        <v>50</v>
      </c>
    </row>
    <row r="11" customFormat="false" ht="15" hidden="false" customHeight="false" outlineLevel="0" collapsed="false">
      <c r="A11" s="5" t="s">
        <v>51</v>
      </c>
      <c r="B11" s="5" t="s">
        <v>52</v>
      </c>
    </row>
    <row r="12" customFormat="false" ht="15" hidden="false" customHeight="false" outlineLevel="0" collapsed="false">
      <c r="A12" s="5" t="s">
        <v>53</v>
      </c>
      <c r="B12" s="5" t="s">
        <v>54</v>
      </c>
    </row>
    <row r="13" customFormat="false" ht="15" hidden="false" customHeight="false" outlineLevel="0" collapsed="false">
      <c r="A13" s="5" t="s">
        <v>55</v>
      </c>
      <c r="B13" s="5" t="s">
        <v>56</v>
      </c>
    </row>
    <row r="14" customFormat="false" ht="15" hidden="false" customHeight="false" outlineLevel="0" collapsed="false">
      <c r="A14" s="5" t="s">
        <v>57</v>
      </c>
    </row>
    <row r="15" customFormat="false" ht="15" hidden="false" customHeight="false" outlineLevel="0" collapsed="false">
      <c r="A15" s="5" t="s">
        <v>58</v>
      </c>
    </row>
    <row r="16" customFormat="false" ht="15" hidden="false" customHeight="false" outlineLevel="0" collapsed="false">
      <c r="A16" s="5" t="s">
        <v>59</v>
      </c>
    </row>
    <row r="17" customFormat="false" ht="15" hidden="false" customHeight="false" outlineLevel="0" collapsed="false">
      <c r="A17" s="5" t="s">
        <v>56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G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3"/>
    <col collapsed="false" customWidth="true" hidden="false" outlineLevel="0" max="4" min="4" style="0" width="40"/>
    <col collapsed="false" customWidth="true" hidden="false" outlineLevel="0" max="5" min="5" style="0" width="16"/>
    <col collapsed="false" customWidth="true" hidden="false" outlineLevel="0" max="6" min="6" style="0" width="30"/>
    <col collapsed="false" customWidth="true" hidden="false" outlineLevel="0" max="7" min="7" style="0" width="18"/>
    <col collapsed="false" customWidth="true" hidden="false" outlineLevel="0" max="9" min="8" style="0" width="16"/>
    <col collapsed="false" customWidth="true" hidden="false" outlineLevel="0" max="10" min="10" style="0" width="12"/>
    <col collapsed="false" customWidth="true" hidden="false" outlineLevel="0" max="11" min="11" style="0" width="14"/>
    <col collapsed="false" customWidth="true" hidden="false" outlineLevel="0" max="12" min="12" style="0" width="13"/>
    <col collapsed="false" customWidth="true" hidden="false" outlineLevel="0" max="13" min="13" style="0" width="40"/>
    <col collapsed="false" customWidth="true" hidden="false" outlineLevel="0" max="14" min="14" style="0" width="12"/>
    <col collapsed="false" customWidth="true" hidden="false" outlineLevel="0" max="15" min="15" style="0" width="13"/>
    <col collapsed="false" customWidth="true" hidden="false" outlineLevel="0" max="16" min="16" style="0" width="12"/>
    <col collapsed="false" customWidth="true" hidden="false" outlineLevel="0" max="17" min="17" style="0" width="15"/>
    <col collapsed="false" customWidth="true" hidden="false" outlineLevel="0" max="20" min="18" style="0" width="12"/>
    <col collapsed="false" customWidth="true" hidden="false" outlineLevel="0" max="21" min="21" style="0" width="15"/>
    <col collapsed="false" customWidth="true" hidden="false" outlineLevel="0" max="22" min="22" style="0" width="12"/>
    <col collapsed="false" customWidth="true" hidden="false" outlineLevel="0" max="23" min="23" style="0" width="28"/>
    <col collapsed="false" customWidth="true" hidden="false" outlineLevel="0" max="24" min="24" style="0" width="13"/>
    <col collapsed="false" customWidth="true" hidden="false" outlineLevel="0" max="25" min="25" style="0" width="15"/>
    <col collapsed="false" customWidth="true" hidden="false" outlineLevel="0" max="27" min="26" style="0" width="34"/>
    <col collapsed="false" customWidth="true" hidden="false" outlineLevel="0" max="28" min="28" style="0" width="15"/>
    <col collapsed="false" customWidth="true" hidden="false" outlineLevel="0" max="29" min="29" style="0" width="12"/>
    <col collapsed="false" customWidth="true" hidden="false" outlineLevel="0" max="30" min="30" style="0" width="16"/>
    <col collapsed="false" customWidth="true" hidden="false" outlineLevel="0" max="31" min="31" style="0" width="12"/>
    <col collapsed="false" customWidth="true" hidden="false" outlineLevel="0" max="32" min="32" style="0" width="9"/>
    <col collapsed="false" customWidth="true" hidden="false" outlineLevel="0" max="33" min="33" style="0" width="30"/>
  </cols>
  <sheetData>
    <row r="1" customFormat="false" ht="25.5" hidden="false" customHeight="true" outlineLevel="0" collapsed="false">
      <c r="A1" s="1" t="s">
        <v>60</v>
      </c>
    </row>
    <row r="2" customFormat="false" ht="15" hidden="false" customHeight="false" outlineLevel="0" collapsed="false">
      <c r="A2" s="2" t="s">
        <v>61</v>
      </c>
    </row>
    <row r="4" customFormat="false" ht="48" hidden="false" customHeight="true" outlineLevel="0" collapsed="false">
      <c r="A4" s="9" t="s">
        <v>62</v>
      </c>
      <c r="B4" s="9" t="s">
        <v>63</v>
      </c>
      <c r="C4" s="9" t="s">
        <v>64</v>
      </c>
      <c r="D4" s="9" t="s">
        <v>65</v>
      </c>
      <c r="E4" s="9" t="s">
        <v>66</v>
      </c>
      <c r="F4" s="9" t="s">
        <v>67</v>
      </c>
      <c r="G4" s="9" t="s">
        <v>21</v>
      </c>
      <c r="H4" s="9" t="s">
        <v>22</v>
      </c>
      <c r="I4" s="9" t="s">
        <v>68</v>
      </c>
      <c r="J4" s="9" t="s">
        <v>69</v>
      </c>
      <c r="K4" s="9" t="s">
        <v>70</v>
      </c>
      <c r="L4" s="9" t="s">
        <v>71</v>
      </c>
      <c r="M4" s="9" t="s">
        <v>72</v>
      </c>
      <c r="N4" s="9" t="s">
        <v>73</v>
      </c>
      <c r="O4" s="9" t="s">
        <v>74</v>
      </c>
      <c r="P4" s="9" t="s">
        <v>75</v>
      </c>
      <c r="Q4" s="9" t="s">
        <v>76</v>
      </c>
      <c r="R4" s="9" t="s">
        <v>77</v>
      </c>
      <c r="S4" s="9" t="s">
        <v>78</v>
      </c>
      <c r="T4" s="9" t="s">
        <v>79</v>
      </c>
      <c r="U4" s="9" t="s">
        <v>80</v>
      </c>
      <c r="V4" s="9" t="s">
        <v>81</v>
      </c>
      <c r="W4" s="9" t="s">
        <v>82</v>
      </c>
      <c r="X4" s="9" t="s">
        <v>83</v>
      </c>
      <c r="Y4" s="9" t="s">
        <v>24</v>
      </c>
      <c r="Z4" s="9" t="s">
        <v>84</v>
      </c>
      <c r="AA4" s="9" t="s">
        <v>85</v>
      </c>
      <c r="AB4" s="9" t="s">
        <v>86</v>
      </c>
      <c r="AC4" s="9" t="s">
        <v>87</v>
      </c>
      <c r="AD4" s="9" t="s">
        <v>25</v>
      </c>
      <c r="AE4" s="9" t="s">
        <v>88</v>
      </c>
      <c r="AF4" s="9" t="s">
        <v>89</v>
      </c>
      <c r="AG4" s="9" t="s">
        <v>90</v>
      </c>
    </row>
    <row r="5" customFormat="false" ht="90" hidden="false" customHeight="true" outlineLevel="0" collapsed="false">
      <c r="A5" s="7" t="s">
        <v>91</v>
      </c>
      <c r="B5" s="10" t="n">
        <v>46266</v>
      </c>
      <c r="C5" s="10" t="n">
        <v>46266</v>
      </c>
      <c r="D5" s="7" t="s">
        <v>92</v>
      </c>
      <c r="E5" s="7" t="s">
        <v>93</v>
      </c>
      <c r="F5" s="7" t="s">
        <v>94</v>
      </c>
      <c r="G5" s="7" t="s">
        <v>26</v>
      </c>
      <c r="H5" s="7" t="s">
        <v>50</v>
      </c>
      <c r="I5" s="7" t="s">
        <v>95</v>
      </c>
      <c r="J5" s="11" t="n">
        <v>3000</v>
      </c>
      <c r="K5" s="12" t="n">
        <v>450000</v>
      </c>
      <c r="L5" s="7" t="s">
        <v>28</v>
      </c>
      <c r="M5" s="7" t="s">
        <v>96</v>
      </c>
      <c r="N5" s="7" t="s">
        <v>28</v>
      </c>
      <c r="O5" s="13" t="n">
        <f aca="false">IF(AND(N5="Yes",ISNUMBER(C5)),C5+30,"")</f>
        <v>46296</v>
      </c>
      <c r="P5" s="10" t="n">
        <v>46289</v>
      </c>
      <c r="Q5" s="6" t="str">
        <f aca="true">IF(OR(N5&lt;&gt;"Yes",NOT(ISNUMBER(O5))),"",IF(ISNUMBER(P5),IF(P5&lt;=O5,"On time","Late"),IF(TODAY()&gt;O5,"OVERDUE","Due in "&amp;(O5-TODAY())&amp;" days")))</f>
        <v>On time</v>
      </c>
      <c r="R5" s="7" t="s">
        <v>28</v>
      </c>
      <c r="S5" s="10" t="n">
        <v>46296</v>
      </c>
      <c r="T5" s="10" t="n">
        <v>46289</v>
      </c>
      <c r="U5" s="6" t="str">
        <f aca="true">IF(OR(R5&lt;&gt;"Yes",NOT(ISNUMBER(S5))),"",IF(ISNUMBER(T5),IF(T5&lt;=S5,"On time","Late"),IF(TODAY()&gt;S5,"OVERDUE","Due in "&amp;(S5-TODAY())&amp;" days")))</f>
        <v>On time</v>
      </c>
      <c r="V5" s="7" t="s">
        <v>33</v>
      </c>
      <c r="W5" s="7" t="s">
        <v>97</v>
      </c>
      <c r="X5" s="7" t="s">
        <v>28</v>
      </c>
      <c r="Y5" s="7" t="s">
        <v>39</v>
      </c>
      <c r="Z5" s="7" t="s">
        <v>98</v>
      </c>
      <c r="AA5" s="7" t="s">
        <v>99</v>
      </c>
      <c r="AB5" s="7" t="s">
        <v>100</v>
      </c>
      <c r="AC5" s="10" t="n">
        <v>46387</v>
      </c>
      <c r="AD5" s="7" t="s">
        <v>40</v>
      </c>
      <c r="AE5" s="10"/>
      <c r="AF5" s="14" t="n">
        <f aca="true">IF(ISNUMBER(C5),IF(ISNUMBER(AE5),AE5-C5,TODAY()-C5),"")</f>
        <v>26</v>
      </c>
      <c r="AG5" s="7" t="s">
        <v>101</v>
      </c>
    </row>
    <row r="6" customFormat="false" ht="15" hidden="false" customHeight="false" outlineLevel="0" collapsed="false">
      <c r="A6" s="5"/>
      <c r="B6" s="15"/>
      <c r="C6" s="15"/>
      <c r="D6" s="5"/>
      <c r="E6" s="5"/>
      <c r="F6" s="5"/>
      <c r="G6" s="5"/>
      <c r="H6" s="5"/>
      <c r="I6" s="5"/>
      <c r="J6" s="16"/>
      <c r="K6" s="17"/>
      <c r="L6" s="5"/>
      <c r="M6" s="5"/>
      <c r="N6" s="5"/>
      <c r="O6" s="13" t="str">
        <f aca="false">IF(AND(N6="Yes",ISNUMBER(C6)),C6+30,"")</f>
        <v/>
      </c>
      <c r="P6" s="15"/>
      <c r="Q6" s="6" t="str">
        <f aca="true">IF(OR(N6&lt;&gt;"Yes",NOT(ISNUMBER(O6))),"",IF(ISNUMBER(P6),IF(P6&lt;=O6,"On time","Late"),IF(TODAY()&gt;O6,"OVERDUE","Due in "&amp;(O6-TODAY())&amp;" days")))</f>
        <v/>
      </c>
      <c r="R6" s="5"/>
      <c r="S6" s="15"/>
      <c r="T6" s="15"/>
      <c r="U6" s="6" t="str">
        <f aca="true">IF(OR(R6&lt;&gt;"Yes",NOT(ISNUMBER(S6))),"",IF(ISNUMBER(T6),IF(T6&lt;=S6,"On time","Late"),IF(TODAY()&gt;S6,"OVERDUE","Due in "&amp;(S6-TODAY())&amp;" days")))</f>
        <v/>
      </c>
      <c r="V6" s="5"/>
      <c r="W6" s="5"/>
      <c r="X6" s="5"/>
      <c r="Y6" s="5"/>
      <c r="Z6" s="5"/>
      <c r="AA6" s="5"/>
      <c r="AB6" s="5"/>
      <c r="AC6" s="15"/>
      <c r="AD6" s="5"/>
      <c r="AE6" s="15"/>
      <c r="AF6" s="14" t="str">
        <f aca="true">IF(ISNUMBER(C6),IF(ISNUMBER(AE6),AE6-C6,TODAY()-C6),"")</f>
        <v/>
      </c>
      <c r="AG6" s="5"/>
    </row>
    <row r="7" customFormat="false" ht="15" hidden="false" customHeight="false" outlineLevel="0" collapsed="false">
      <c r="A7" s="5"/>
      <c r="B7" s="15"/>
      <c r="C7" s="15"/>
      <c r="D7" s="5"/>
      <c r="E7" s="5"/>
      <c r="F7" s="5"/>
      <c r="G7" s="5"/>
      <c r="H7" s="5"/>
      <c r="I7" s="5"/>
      <c r="J7" s="16"/>
      <c r="K7" s="17"/>
      <c r="L7" s="5"/>
      <c r="M7" s="5"/>
      <c r="N7" s="5"/>
      <c r="O7" s="13" t="str">
        <f aca="false">IF(AND(N7="Yes",ISNUMBER(C7)),C7+30,"")</f>
        <v/>
      </c>
      <c r="P7" s="15"/>
      <c r="Q7" s="6" t="str">
        <f aca="true">IF(OR(N7&lt;&gt;"Yes",NOT(ISNUMBER(O7))),"",IF(ISNUMBER(P7),IF(P7&lt;=O7,"On time","Late"),IF(TODAY()&gt;O7,"OVERDUE","Due in "&amp;(O7-TODAY())&amp;" days")))</f>
        <v/>
      </c>
      <c r="R7" s="5"/>
      <c r="S7" s="15"/>
      <c r="T7" s="15"/>
      <c r="U7" s="6" t="str">
        <f aca="true">IF(OR(R7&lt;&gt;"Yes",NOT(ISNUMBER(S7))),"",IF(ISNUMBER(T7),IF(T7&lt;=S7,"On time","Late"),IF(TODAY()&gt;S7,"OVERDUE","Due in "&amp;(S7-TODAY())&amp;" days")))</f>
        <v/>
      </c>
      <c r="V7" s="5"/>
      <c r="W7" s="5"/>
      <c r="X7" s="5"/>
      <c r="Y7" s="5"/>
      <c r="Z7" s="5"/>
      <c r="AA7" s="5"/>
      <c r="AB7" s="5"/>
      <c r="AC7" s="15"/>
      <c r="AD7" s="5"/>
      <c r="AE7" s="15"/>
      <c r="AF7" s="14" t="str">
        <f aca="true">IF(ISNUMBER(C7),IF(ISNUMBER(AE7),AE7-C7,TODAY()-C7),"")</f>
        <v/>
      </c>
      <c r="AG7" s="5"/>
    </row>
    <row r="8" customFormat="false" ht="15" hidden="false" customHeight="false" outlineLevel="0" collapsed="false">
      <c r="A8" s="5"/>
      <c r="B8" s="15"/>
      <c r="C8" s="15"/>
      <c r="D8" s="5"/>
      <c r="E8" s="5"/>
      <c r="F8" s="5"/>
      <c r="G8" s="5"/>
      <c r="H8" s="5"/>
      <c r="I8" s="5"/>
      <c r="J8" s="16"/>
      <c r="K8" s="17"/>
      <c r="L8" s="5"/>
      <c r="M8" s="5"/>
      <c r="N8" s="5"/>
      <c r="O8" s="13" t="str">
        <f aca="false">IF(AND(N8="Yes",ISNUMBER(C8)),C8+30,"")</f>
        <v/>
      </c>
      <c r="P8" s="15"/>
      <c r="Q8" s="6" t="str">
        <f aca="true">IF(OR(N8&lt;&gt;"Yes",NOT(ISNUMBER(O8))),"",IF(ISNUMBER(P8),IF(P8&lt;=O8,"On time","Late"),IF(TODAY()&gt;O8,"OVERDUE","Due in "&amp;(O8-TODAY())&amp;" days")))</f>
        <v/>
      </c>
      <c r="R8" s="5"/>
      <c r="S8" s="15"/>
      <c r="T8" s="15"/>
      <c r="U8" s="6" t="str">
        <f aca="true">IF(OR(R8&lt;&gt;"Yes",NOT(ISNUMBER(S8))),"",IF(ISNUMBER(T8),IF(T8&lt;=S8,"On time","Late"),IF(TODAY()&gt;S8,"OVERDUE","Due in "&amp;(S8-TODAY())&amp;" days")))</f>
        <v/>
      </c>
      <c r="V8" s="5"/>
      <c r="W8" s="5"/>
      <c r="X8" s="5"/>
      <c r="Y8" s="5"/>
      <c r="Z8" s="5"/>
      <c r="AA8" s="5"/>
      <c r="AB8" s="5"/>
      <c r="AC8" s="15"/>
      <c r="AD8" s="5"/>
      <c r="AE8" s="15"/>
      <c r="AF8" s="14" t="str">
        <f aca="true">IF(ISNUMBER(C8),IF(ISNUMBER(AE8),AE8-C8,TODAY()-C8),"")</f>
        <v/>
      </c>
      <c r="AG8" s="5"/>
    </row>
    <row r="9" customFormat="false" ht="15" hidden="false" customHeight="false" outlineLevel="0" collapsed="false">
      <c r="A9" s="5"/>
      <c r="B9" s="15"/>
      <c r="C9" s="15"/>
      <c r="D9" s="5"/>
      <c r="E9" s="5"/>
      <c r="F9" s="5"/>
      <c r="G9" s="5"/>
      <c r="H9" s="5"/>
      <c r="I9" s="5"/>
      <c r="J9" s="16"/>
      <c r="K9" s="17"/>
      <c r="L9" s="5"/>
      <c r="M9" s="5"/>
      <c r="N9" s="5"/>
      <c r="O9" s="13" t="str">
        <f aca="false">IF(AND(N9="Yes",ISNUMBER(C9)),C9+30,"")</f>
        <v/>
      </c>
      <c r="P9" s="15"/>
      <c r="Q9" s="6" t="str">
        <f aca="true">IF(OR(N9&lt;&gt;"Yes",NOT(ISNUMBER(O9))),"",IF(ISNUMBER(P9),IF(P9&lt;=O9,"On time","Late"),IF(TODAY()&gt;O9,"OVERDUE","Due in "&amp;(O9-TODAY())&amp;" days")))</f>
        <v/>
      </c>
      <c r="R9" s="5"/>
      <c r="S9" s="15"/>
      <c r="T9" s="15"/>
      <c r="U9" s="6" t="str">
        <f aca="true">IF(OR(R9&lt;&gt;"Yes",NOT(ISNUMBER(S9))),"",IF(ISNUMBER(T9),IF(T9&lt;=S9,"On time","Late"),IF(TODAY()&gt;S9,"OVERDUE","Due in "&amp;(S9-TODAY())&amp;" days")))</f>
        <v/>
      </c>
      <c r="V9" s="5"/>
      <c r="W9" s="5"/>
      <c r="X9" s="5"/>
      <c r="Y9" s="5"/>
      <c r="Z9" s="5"/>
      <c r="AA9" s="5"/>
      <c r="AB9" s="5"/>
      <c r="AC9" s="15"/>
      <c r="AD9" s="5"/>
      <c r="AE9" s="15"/>
      <c r="AF9" s="14" t="str">
        <f aca="true">IF(ISNUMBER(C9),IF(ISNUMBER(AE9),AE9-C9,TODAY()-C9),"")</f>
        <v/>
      </c>
      <c r="AG9" s="5"/>
    </row>
    <row r="10" customFormat="false" ht="15" hidden="false" customHeight="false" outlineLevel="0" collapsed="false">
      <c r="A10" s="5"/>
      <c r="B10" s="15"/>
      <c r="C10" s="15"/>
      <c r="D10" s="5"/>
      <c r="E10" s="5"/>
      <c r="F10" s="5"/>
      <c r="G10" s="5"/>
      <c r="H10" s="5"/>
      <c r="I10" s="5"/>
      <c r="J10" s="16"/>
      <c r="K10" s="17"/>
      <c r="L10" s="5"/>
      <c r="M10" s="5"/>
      <c r="N10" s="5"/>
      <c r="O10" s="13" t="str">
        <f aca="false">IF(AND(N10="Yes",ISNUMBER(C10)),C10+30,"")</f>
        <v/>
      </c>
      <c r="P10" s="15"/>
      <c r="Q10" s="6" t="str">
        <f aca="true">IF(OR(N10&lt;&gt;"Yes",NOT(ISNUMBER(O10))),"",IF(ISNUMBER(P10),IF(P10&lt;=O10,"On time","Late"),IF(TODAY()&gt;O10,"OVERDUE","Due in "&amp;(O10-TODAY())&amp;" days")))</f>
        <v/>
      </c>
      <c r="R10" s="5"/>
      <c r="S10" s="15"/>
      <c r="T10" s="15"/>
      <c r="U10" s="6" t="str">
        <f aca="true">IF(OR(R10&lt;&gt;"Yes",NOT(ISNUMBER(S10))),"",IF(ISNUMBER(T10),IF(T10&lt;=S10,"On time","Late"),IF(TODAY()&gt;S10,"OVERDUE","Due in "&amp;(S10-TODAY())&amp;" days")))</f>
        <v/>
      </c>
      <c r="V10" s="5"/>
      <c r="W10" s="5"/>
      <c r="X10" s="5"/>
      <c r="Y10" s="5"/>
      <c r="Z10" s="5"/>
      <c r="AA10" s="5"/>
      <c r="AB10" s="5"/>
      <c r="AC10" s="15"/>
      <c r="AD10" s="5"/>
      <c r="AE10" s="15"/>
      <c r="AF10" s="14" t="str">
        <f aca="true">IF(ISNUMBER(C10),IF(ISNUMBER(AE10),AE10-C10,TODAY()-C10),"")</f>
        <v/>
      </c>
      <c r="AG10" s="5"/>
    </row>
    <row r="11" customFormat="false" ht="15" hidden="false" customHeight="false" outlineLevel="0" collapsed="false">
      <c r="A11" s="5"/>
      <c r="B11" s="15"/>
      <c r="C11" s="15"/>
      <c r="D11" s="5"/>
      <c r="E11" s="5"/>
      <c r="F11" s="5"/>
      <c r="G11" s="5"/>
      <c r="H11" s="5"/>
      <c r="I11" s="5"/>
      <c r="J11" s="16"/>
      <c r="K11" s="17"/>
      <c r="L11" s="5"/>
      <c r="M11" s="5"/>
      <c r="N11" s="5"/>
      <c r="O11" s="13" t="str">
        <f aca="false">IF(AND(N11="Yes",ISNUMBER(C11)),C11+30,"")</f>
        <v/>
      </c>
      <c r="P11" s="15"/>
      <c r="Q11" s="6" t="str">
        <f aca="true">IF(OR(N11&lt;&gt;"Yes",NOT(ISNUMBER(O11))),"",IF(ISNUMBER(P11),IF(P11&lt;=O11,"On time","Late"),IF(TODAY()&gt;O11,"OVERDUE","Due in "&amp;(O11-TODAY())&amp;" days")))</f>
        <v/>
      </c>
      <c r="R11" s="5"/>
      <c r="S11" s="15"/>
      <c r="T11" s="15"/>
      <c r="U11" s="6" t="str">
        <f aca="true">IF(OR(R11&lt;&gt;"Yes",NOT(ISNUMBER(S11))),"",IF(ISNUMBER(T11),IF(T11&lt;=S11,"On time","Late"),IF(TODAY()&gt;S11,"OVERDUE","Due in "&amp;(S11-TODAY())&amp;" days")))</f>
        <v/>
      </c>
      <c r="V11" s="5"/>
      <c r="W11" s="5"/>
      <c r="X11" s="5"/>
      <c r="Y11" s="5"/>
      <c r="Z11" s="5"/>
      <c r="AA11" s="5"/>
      <c r="AB11" s="5"/>
      <c r="AC11" s="15"/>
      <c r="AD11" s="5"/>
      <c r="AE11" s="15"/>
      <c r="AF11" s="14" t="str">
        <f aca="true">IF(ISNUMBER(C11),IF(ISNUMBER(AE11),AE11-C11,TODAY()-C11),"")</f>
        <v/>
      </c>
      <c r="AG11" s="5"/>
    </row>
    <row r="12" customFormat="false" ht="15" hidden="false" customHeight="false" outlineLevel="0" collapsed="false">
      <c r="A12" s="5"/>
      <c r="B12" s="15"/>
      <c r="C12" s="15"/>
      <c r="D12" s="5"/>
      <c r="E12" s="5"/>
      <c r="F12" s="5"/>
      <c r="G12" s="5"/>
      <c r="H12" s="5"/>
      <c r="I12" s="5"/>
      <c r="J12" s="16"/>
      <c r="K12" s="17"/>
      <c r="L12" s="5"/>
      <c r="M12" s="5"/>
      <c r="N12" s="5"/>
      <c r="O12" s="13" t="str">
        <f aca="false">IF(AND(N12="Yes",ISNUMBER(C12)),C12+30,"")</f>
        <v/>
      </c>
      <c r="P12" s="15"/>
      <c r="Q12" s="6" t="str">
        <f aca="true">IF(OR(N12&lt;&gt;"Yes",NOT(ISNUMBER(O12))),"",IF(ISNUMBER(P12),IF(P12&lt;=O12,"On time","Late"),IF(TODAY()&gt;O12,"OVERDUE","Due in "&amp;(O12-TODAY())&amp;" days")))</f>
        <v/>
      </c>
      <c r="R12" s="5"/>
      <c r="S12" s="15"/>
      <c r="T12" s="15"/>
      <c r="U12" s="6" t="str">
        <f aca="true">IF(OR(R12&lt;&gt;"Yes",NOT(ISNUMBER(S12))),"",IF(ISNUMBER(T12),IF(T12&lt;=S12,"On time","Late"),IF(TODAY()&gt;S12,"OVERDUE","Due in "&amp;(S12-TODAY())&amp;" days")))</f>
        <v/>
      </c>
      <c r="V12" s="5"/>
      <c r="W12" s="5"/>
      <c r="X12" s="5"/>
      <c r="Y12" s="5"/>
      <c r="Z12" s="5"/>
      <c r="AA12" s="5"/>
      <c r="AB12" s="5"/>
      <c r="AC12" s="15"/>
      <c r="AD12" s="5"/>
      <c r="AE12" s="15"/>
      <c r="AF12" s="14" t="str">
        <f aca="true">IF(ISNUMBER(C12),IF(ISNUMBER(AE12),AE12-C12,TODAY()-C12),"")</f>
        <v/>
      </c>
      <c r="AG12" s="5"/>
    </row>
    <row r="13" customFormat="false" ht="15" hidden="false" customHeight="false" outlineLevel="0" collapsed="false">
      <c r="A13" s="5"/>
      <c r="B13" s="15"/>
      <c r="C13" s="15"/>
      <c r="D13" s="5"/>
      <c r="E13" s="5"/>
      <c r="F13" s="5"/>
      <c r="G13" s="5"/>
      <c r="H13" s="5"/>
      <c r="I13" s="5"/>
      <c r="J13" s="16"/>
      <c r="K13" s="17"/>
      <c r="L13" s="5"/>
      <c r="M13" s="5"/>
      <c r="N13" s="5"/>
      <c r="O13" s="13" t="str">
        <f aca="false">IF(AND(N13="Yes",ISNUMBER(C13)),C13+30,"")</f>
        <v/>
      </c>
      <c r="P13" s="15"/>
      <c r="Q13" s="6" t="str">
        <f aca="true">IF(OR(N13&lt;&gt;"Yes",NOT(ISNUMBER(O13))),"",IF(ISNUMBER(P13),IF(P13&lt;=O13,"On time","Late"),IF(TODAY()&gt;O13,"OVERDUE","Due in "&amp;(O13-TODAY())&amp;" days")))</f>
        <v/>
      </c>
      <c r="R13" s="5"/>
      <c r="S13" s="15"/>
      <c r="T13" s="15"/>
      <c r="U13" s="6" t="str">
        <f aca="true">IF(OR(R13&lt;&gt;"Yes",NOT(ISNUMBER(S13))),"",IF(ISNUMBER(T13),IF(T13&lt;=S13,"On time","Late"),IF(TODAY()&gt;S13,"OVERDUE","Due in "&amp;(S13-TODAY())&amp;" days")))</f>
        <v/>
      </c>
      <c r="V13" s="5"/>
      <c r="W13" s="5"/>
      <c r="X13" s="5"/>
      <c r="Y13" s="5"/>
      <c r="Z13" s="5"/>
      <c r="AA13" s="5"/>
      <c r="AB13" s="5"/>
      <c r="AC13" s="15"/>
      <c r="AD13" s="5"/>
      <c r="AE13" s="15"/>
      <c r="AF13" s="14" t="str">
        <f aca="true">IF(ISNUMBER(C13),IF(ISNUMBER(AE13),AE13-C13,TODAY()-C13),"")</f>
        <v/>
      </c>
      <c r="AG13" s="5"/>
    </row>
    <row r="14" customFormat="false" ht="15" hidden="false" customHeight="false" outlineLevel="0" collapsed="false">
      <c r="A14" s="5"/>
      <c r="B14" s="15"/>
      <c r="C14" s="15"/>
      <c r="D14" s="5"/>
      <c r="E14" s="5"/>
      <c r="F14" s="5"/>
      <c r="G14" s="5"/>
      <c r="H14" s="5"/>
      <c r="I14" s="5"/>
      <c r="J14" s="16"/>
      <c r="K14" s="17"/>
      <c r="L14" s="5"/>
      <c r="M14" s="5"/>
      <c r="N14" s="5"/>
      <c r="O14" s="13" t="str">
        <f aca="false">IF(AND(N14="Yes",ISNUMBER(C14)),C14+30,"")</f>
        <v/>
      </c>
      <c r="P14" s="15"/>
      <c r="Q14" s="6" t="str">
        <f aca="true">IF(OR(N14&lt;&gt;"Yes",NOT(ISNUMBER(O14))),"",IF(ISNUMBER(P14),IF(P14&lt;=O14,"On time","Late"),IF(TODAY()&gt;O14,"OVERDUE","Due in "&amp;(O14-TODAY())&amp;" days")))</f>
        <v/>
      </c>
      <c r="R14" s="5"/>
      <c r="S14" s="15"/>
      <c r="T14" s="15"/>
      <c r="U14" s="6" t="str">
        <f aca="true">IF(OR(R14&lt;&gt;"Yes",NOT(ISNUMBER(S14))),"",IF(ISNUMBER(T14),IF(T14&lt;=S14,"On time","Late"),IF(TODAY()&gt;S14,"OVERDUE","Due in "&amp;(S14-TODAY())&amp;" days")))</f>
        <v/>
      </c>
      <c r="V14" s="5"/>
      <c r="W14" s="5"/>
      <c r="X14" s="5"/>
      <c r="Y14" s="5"/>
      <c r="Z14" s="5"/>
      <c r="AA14" s="5"/>
      <c r="AB14" s="5"/>
      <c r="AC14" s="15"/>
      <c r="AD14" s="5"/>
      <c r="AE14" s="15"/>
      <c r="AF14" s="14" t="str">
        <f aca="true">IF(ISNUMBER(C14),IF(ISNUMBER(AE14),AE14-C14,TODAY()-C14),"")</f>
        <v/>
      </c>
      <c r="AG14" s="5"/>
    </row>
    <row r="15" customFormat="false" ht="15" hidden="false" customHeight="false" outlineLevel="0" collapsed="false">
      <c r="A15" s="5"/>
      <c r="B15" s="15"/>
      <c r="C15" s="15"/>
      <c r="D15" s="5"/>
      <c r="E15" s="5"/>
      <c r="F15" s="5"/>
      <c r="G15" s="5"/>
      <c r="H15" s="5"/>
      <c r="I15" s="5"/>
      <c r="J15" s="16"/>
      <c r="K15" s="17"/>
      <c r="L15" s="5"/>
      <c r="M15" s="5"/>
      <c r="N15" s="5"/>
      <c r="O15" s="13" t="str">
        <f aca="false">IF(AND(N15="Yes",ISNUMBER(C15)),C15+30,"")</f>
        <v/>
      </c>
      <c r="P15" s="15"/>
      <c r="Q15" s="6" t="str">
        <f aca="true">IF(OR(N15&lt;&gt;"Yes",NOT(ISNUMBER(O15))),"",IF(ISNUMBER(P15),IF(P15&lt;=O15,"On time","Late"),IF(TODAY()&gt;O15,"OVERDUE","Due in "&amp;(O15-TODAY())&amp;" days")))</f>
        <v/>
      </c>
      <c r="R15" s="5"/>
      <c r="S15" s="15"/>
      <c r="T15" s="15"/>
      <c r="U15" s="6" t="str">
        <f aca="true">IF(OR(R15&lt;&gt;"Yes",NOT(ISNUMBER(S15))),"",IF(ISNUMBER(T15),IF(T15&lt;=S15,"On time","Late"),IF(TODAY()&gt;S15,"OVERDUE","Due in "&amp;(S15-TODAY())&amp;" days")))</f>
        <v/>
      </c>
      <c r="V15" s="5"/>
      <c r="W15" s="5"/>
      <c r="X15" s="5"/>
      <c r="Y15" s="5"/>
      <c r="Z15" s="5"/>
      <c r="AA15" s="5"/>
      <c r="AB15" s="5"/>
      <c r="AC15" s="15"/>
      <c r="AD15" s="5"/>
      <c r="AE15" s="15"/>
      <c r="AF15" s="14" t="str">
        <f aca="true">IF(ISNUMBER(C15),IF(ISNUMBER(AE15),AE15-C15,TODAY()-C15),"")</f>
        <v/>
      </c>
      <c r="AG15" s="5"/>
    </row>
    <row r="16" customFormat="false" ht="15" hidden="false" customHeight="false" outlineLevel="0" collapsed="false">
      <c r="A16" s="5"/>
      <c r="B16" s="15"/>
      <c r="C16" s="15"/>
      <c r="D16" s="5"/>
      <c r="E16" s="5"/>
      <c r="F16" s="5"/>
      <c r="G16" s="5"/>
      <c r="H16" s="5"/>
      <c r="I16" s="5"/>
      <c r="J16" s="16"/>
      <c r="K16" s="17"/>
      <c r="L16" s="5"/>
      <c r="M16" s="5"/>
      <c r="N16" s="5"/>
      <c r="O16" s="13" t="str">
        <f aca="false">IF(AND(N16="Yes",ISNUMBER(C16)),C16+30,"")</f>
        <v/>
      </c>
      <c r="P16" s="15"/>
      <c r="Q16" s="6" t="str">
        <f aca="true">IF(OR(N16&lt;&gt;"Yes",NOT(ISNUMBER(O16))),"",IF(ISNUMBER(P16),IF(P16&lt;=O16,"On time","Late"),IF(TODAY()&gt;O16,"OVERDUE","Due in "&amp;(O16-TODAY())&amp;" days")))</f>
        <v/>
      </c>
      <c r="R16" s="5"/>
      <c r="S16" s="15"/>
      <c r="T16" s="15"/>
      <c r="U16" s="6" t="str">
        <f aca="true">IF(OR(R16&lt;&gt;"Yes",NOT(ISNUMBER(S16))),"",IF(ISNUMBER(T16),IF(T16&lt;=S16,"On time","Late"),IF(TODAY()&gt;S16,"OVERDUE","Due in "&amp;(S16-TODAY())&amp;" days")))</f>
        <v/>
      </c>
      <c r="V16" s="5"/>
      <c r="W16" s="5"/>
      <c r="X16" s="5"/>
      <c r="Y16" s="5"/>
      <c r="Z16" s="5"/>
      <c r="AA16" s="5"/>
      <c r="AB16" s="5"/>
      <c r="AC16" s="15"/>
      <c r="AD16" s="5"/>
      <c r="AE16" s="15"/>
      <c r="AF16" s="14" t="str">
        <f aca="true">IF(ISNUMBER(C16),IF(ISNUMBER(AE16),AE16-C16,TODAY()-C16),"")</f>
        <v/>
      </c>
      <c r="AG16" s="5"/>
    </row>
    <row r="17" customFormat="false" ht="15" hidden="false" customHeight="false" outlineLevel="0" collapsed="false">
      <c r="A17" s="5"/>
      <c r="B17" s="15"/>
      <c r="C17" s="15"/>
      <c r="D17" s="5"/>
      <c r="E17" s="5"/>
      <c r="F17" s="5"/>
      <c r="G17" s="5"/>
      <c r="H17" s="5"/>
      <c r="I17" s="5"/>
      <c r="J17" s="16"/>
      <c r="K17" s="17"/>
      <c r="L17" s="5"/>
      <c r="M17" s="5"/>
      <c r="N17" s="5"/>
      <c r="O17" s="13" t="str">
        <f aca="false">IF(AND(N17="Yes",ISNUMBER(C17)),C17+30,"")</f>
        <v/>
      </c>
      <c r="P17" s="15"/>
      <c r="Q17" s="6" t="str">
        <f aca="true">IF(OR(N17&lt;&gt;"Yes",NOT(ISNUMBER(O17))),"",IF(ISNUMBER(P17),IF(P17&lt;=O17,"On time","Late"),IF(TODAY()&gt;O17,"OVERDUE","Due in "&amp;(O17-TODAY())&amp;" days")))</f>
        <v/>
      </c>
      <c r="R17" s="5"/>
      <c r="S17" s="15"/>
      <c r="T17" s="15"/>
      <c r="U17" s="6" t="str">
        <f aca="true">IF(OR(R17&lt;&gt;"Yes",NOT(ISNUMBER(S17))),"",IF(ISNUMBER(T17),IF(T17&lt;=S17,"On time","Late"),IF(TODAY()&gt;S17,"OVERDUE","Due in "&amp;(S17-TODAY())&amp;" days")))</f>
        <v/>
      </c>
      <c r="V17" s="5"/>
      <c r="W17" s="5"/>
      <c r="X17" s="5"/>
      <c r="Y17" s="5"/>
      <c r="Z17" s="5"/>
      <c r="AA17" s="5"/>
      <c r="AB17" s="5"/>
      <c r="AC17" s="15"/>
      <c r="AD17" s="5"/>
      <c r="AE17" s="15"/>
      <c r="AF17" s="14" t="str">
        <f aca="true">IF(ISNUMBER(C17),IF(ISNUMBER(AE17),AE17-C17,TODAY()-C17),"")</f>
        <v/>
      </c>
      <c r="AG17" s="5"/>
    </row>
    <row r="18" customFormat="false" ht="15" hidden="false" customHeight="false" outlineLevel="0" collapsed="false">
      <c r="A18" s="5"/>
      <c r="B18" s="15"/>
      <c r="C18" s="15"/>
      <c r="D18" s="5"/>
      <c r="E18" s="5"/>
      <c r="F18" s="5"/>
      <c r="G18" s="5"/>
      <c r="H18" s="5"/>
      <c r="I18" s="5"/>
      <c r="J18" s="16"/>
      <c r="K18" s="17"/>
      <c r="L18" s="5"/>
      <c r="M18" s="5"/>
      <c r="N18" s="5"/>
      <c r="O18" s="13" t="str">
        <f aca="false">IF(AND(N18="Yes",ISNUMBER(C18)),C18+30,"")</f>
        <v/>
      </c>
      <c r="P18" s="15"/>
      <c r="Q18" s="6" t="str">
        <f aca="true">IF(OR(N18&lt;&gt;"Yes",NOT(ISNUMBER(O18))),"",IF(ISNUMBER(P18),IF(P18&lt;=O18,"On time","Late"),IF(TODAY()&gt;O18,"OVERDUE","Due in "&amp;(O18-TODAY())&amp;" days")))</f>
        <v/>
      </c>
      <c r="R18" s="5"/>
      <c r="S18" s="15"/>
      <c r="T18" s="15"/>
      <c r="U18" s="6" t="str">
        <f aca="true">IF(OR(R18&lt;&gt;"Yes",NOT(ISNUMBER(S18))),"",IF(ISNUMBER(T18),IF(T18&lt;=S18,"On time","Late"),IF(TODAY()&gt;S18,"OVERDUE","Due in "&amp;(S18-TODAY())&amp;" days")))</f>
        <v/>
      </c>
      <c r="V18" s="5"/>
      <c r="W18" s="5"/>
      <c r="X18" s="5"/>
      <c r="Y18" s="5"/>
      <c r="Z18" s="5"/>
      <c r="AA18" s="5"/>
      <c r="AB18" s="5"/>
      <c r="AC18" s="15"/>
      <c r="AD18" s="5"/>
      <c r="AE18" s="15"/>
      <c r="AF18" s="14" t="str">
        <f aca="true">IF(ISNUMBER(C18),IF(ISNUMBER(AE18),AE18-C18,TODAY()-C18),"")</f>
        <v/>
      </c>
      <c r="AG18" s="5"/>
    </row>
    <row r="19" customFormat="false" ht="15" hidden="false" customHeight="false" outlineLevel="0" collapsed="false">
      <c r="A19" s="5"/>
      <c r="B19" s="15"/>
      <c r="C19" s="15"/>
      <c r="D19" s="5"/>
      <c r="E19" s="5"/>
      <c r="F19" s="5"/>
      <c r="G19" s="5"/>
      <c r="H19" s="5"/>
      <c r="I19" s="5"/>
      <c r="J19" s="16"/>
      <c r="K19" s="17"/>
      <c r="L19" s="5"/>
      <c r="M19" s="5"/>
      <c r="N19" s="5"/>
      <c r="O19" s="13" t="str">
        <f aca="false">IF(AND(N19="Yes",ISNUMBER(C19)),C19+30,"")</f>
        <v/>
      </c>
      <c r="P19" s="15"/>
      <c r="Q19" s="6" t="str">
        <f aca="true">IF(OR(N19&lt;&gt;"Yes",NOT(ISNUMBER(O19))),"",IF(ISNUMBER(P19),IF(P19&lt;=O19,"On time","Late"),IF(TODAY()&gt;O19,"OVERDUE","Due in "&amp;(O19-TODAY())&amp;" days")))</f>
        <v/>
      </c>
      <c r="R19" s="5"/>
      <c r="S19" s="15"/>
      <c r="T19" s="15"/>
      <c r="U19" s="6" t="str">
        <f aca="true">IF(OR(R19&lt;&gt;"Yes",NOT(ISNUMBER(S19))),"",IF(ISNUMBER(T19),IF(T19&lt;=S19,"On time","Late"),IF(TODAY()&gt;S19,"OVERDUE","Due in "&amp;(S19-TODAY())&amp;" days")))</f>
        <v/>
      </c>
      <c r="V19" s="5"/>
      <c r="W19" s="5"/>
      <c r="X19" s="5"/>
      <c r="Y19" s="5"/>
      <c r="Z19" s="5"/>
      <c r="AA19" s="5"/>
      <c r="AB19" s="5"/>
      <c r="AC19" s="15"/>
      <c r="AD19" s="5"/>
      <c r="AE19" s="15"/>
      <c r="AF19" s="14" t="str">
        <f aca="true">IF(ISNUMBER(C19),IF(ISNUMBER(AE19),AE19-C19,TODAY()-C19),"")</f>
        <v/>
      </c>
      <c r="AG19" s="5"/>
    </row>
    <row r="20" customFormat="false" ht="15" hidden="false" customHeight="false" outlineLevel="0" collapsed="false">
      <c r="A20" s="5"/>
      <c r="B20" s="15"/>
      <c r="C20" s="15"/>
      <c r="D20" s="5"/>
      <c r="E20" s="5"/>
      <c r="F20" s="5"/>
      <c r="G20" s="5"/>
      <c r="H20" s="5"/>
      <c r="I20" s="5"/>
      <c r="J20" s="16"/>
      <c r="K20" s="17"/>
      <c r="L20" s="5"/>
      <c r="M20" s="5"/>
      <c r="N20" s="5"/>
      <c r="O20" s="13" t="str">
        <f aca="false">IF(AND(N20="Yes",ISNUMBER(C20)),C20+30,"")</f>
        <v/>
      </c>
      <c r="P20" s="15"/>
      <c r="Q20" s="6" t="str">
        <f aca="true">IF(OR(N20&lt;&gt;"Yes",NOT(ISNUMBER(O20))),"",IF(ISNUMBER(P20),IF(P20&lt;=O20,"On time","Late"),IF(TODAY()&gt;O20,"OVERDUE","Due in "&amp;(O20-TODAY())&amp;" days")))</f>
        <v/>
      </c>
      <c r="R20" s="5"/>
      <c r="S20" s="15"/>
      <c r="T20" s="15"/>
      <c r="U20" s="6" t="str">
        <f aca="true">IF(OR(R20&lt;&gt;"Yes",NOT(ISNUMBER(S20))),"",IF(ISNUMBER(T20),IF(T20&lt;=S20,"On time","Late"),IF(TODAY()&gt;S20,"OVERDUE","Due in "&amp;(S20-TODAY())&amp;" days")))</f>
        <v/>
      </c>
      <c r="V20" s="5"/>
      <c r="W20" s="5"/>
      <c r="X20" s="5"/>
      <c r="Y20" s="5"/>
      <c r="Z20" s="5"/>
      <c r="AA20" s="5"/>
      <c r="AB20" s="5"/>
      <c r="AC20" s="15"/>
      <c r="AD20" s="5"/>
      <c r="AE20" s="15"/>
      <c r="AF20" s="14" t="str">
        <f aca="true">IF(ISNUMBER(C20),IF(ISNUMBER(AE20),AE20-C20,TODAY()-C20),"")</f>
        <v/>
      </c>
      <c r="AG20" s="5"/>
    </row>
    <row r="21" customFormat="false" ht="15" hidden="false" customHeight="false" outlineLevel="0" collapsed="false">
      <c r="A21" s="5"/>
      <c r="B21" s="15"/>
      <c r="C21" s="15"/>
      <c r="D21" s="5"/>
      <c r="E21" s="5"/>
      <c r="F21" s="5"/>
      <c r="G21" s="5"/>
      <c r="H21" s="5"/>
      <c r="I21" s="5"/>
      <c r="J21" s="16"/>
      <c r="K21" s="17"/>
      <c r="L21" s="5"/>
      <c r="M21" s="5"/>
      <c r="N21" s="5"/>
      <c r="O21" s="13" t="str">
        <f aca="false">IF(AND(N21="Yes",ISNUMBER(C21)),C21+30,"")</f>
        <v/>
      </c>
      <c r="P21" s="15"/>
      <c r="Q21" s="6" t="str">
        <f aca="true">IF(OR(N21&lt;&gt;"Yes",NOT(ISNUMBER(O21))),"",IF(ISNUMBER(P21),IF(P21&lt;=O21,"On time","Late"),IF(TODAY()&gt;O21,"OVERDUE","Due in "&amp;(O21-TODAY())&amp;" days")))</f>
        <v/>
      </c>
      <c r="R21" s="5"/>
      <c r="S21" s="15"/>
      <c r="T21" s="15"/>
      <c r="U21" s="6" t="str">
        <f aca="true">IF(OR(R21&lt;&gt;"Yes",NOT(ISNUMBER(S21))),"",IF(ISNUMBER(T21),IF(T21&lt;=S21,"On time","Late"),IF(TODAY()&gt;S21,"OVERDUE","Due in "&amp;(S21-TODAY())&amp;" days")))</f>
        <v/>
      </c>
      <c r="V21" s="5"/>
      <c r="W21" s="5"/>
      <c r="X21" s="5"/>
      <c r="Y21" s="5"/>
      <c r="Z21" s="5"/>
      <c r="AA21" s="5"/>
      <c r="AB21" s="5"/>
      <c r="AC21" s="15"/>
      <c r="AD21" s="5"/>
      <c r="AE21" s="15"/>
      <c r="AF21" s="14" t="str">
        <f aca="true">IF(ISNUMBER(C21),IF(ISNUMBER(AE21),AE21-C21,TODAY()-C21),"")</f>
        <v/>
      </c>
      <c r="AG21" s="5"/>
    </row>
    <row r="22" customFormat="false" ht="15" hidden="false" customHeight="false" outlineLevel="0" collapsed="false">
      <c r="A22" s="5"/>
      <c r="B22" s="15"/>
      <c r="C22" s="15"/>
      <c r="D22" s="5"/>
      <c r="E22" s="5"/>
      <c r="F22" s="5"/>
      <c r="G22" s="5"/>
      <c r="H22" s="5"/>
      <c r="I22" s="5"/>
      <c r="J22" s="16"/>
      <c r="K22" s="17"/>
      <c r="L22" s="5"/>
      <c r="M22" s="5"/>
      <c r="N22" s="5"/>
      <c r="O22" s="13" t="str">
        <f aca="false">IF(AND(N22="Yes",ISNUMBER(C22)),C22+30,"")</f>
        <v/>
      </c>
      <c r="P22" s="15"/>
      <c r="Q22" s="6" t="str">
        <f aca="true">IF(OR(N22&lt;&gt;"Yes",NOT(ISNUMBER(O22))),"",IF(ISNUMBER(P22),IF(P22&lt;=O22,"On time","Late"),IF(TODAY()&gt;O22,"OVERDUE","Due in "&amp;(O22-TODAY())&amp;" days")))</f>
        <v/>
      </c>
      <c r="R22" s="5"/>
      <c r="S22" s="15"/>
      <c r="T22" s="15"/>
      <c r="U22" s="6" t="str">
        <f aca="true">IF(OR(R22&lt;&gt;"Yes",NOT(ISNUMBER(S22))),"",IF(ISNUMBER(T22),IF(T22&lt;=S22,"On time","Late"),IF(TODAY()&gt;S22,"OVERDUE","Due in "&amp;(S22-TODAY())&amp;" days")))</f>
        <v/>
      </c>
      <c r="V22" s="5"/>
      <c r="W22" s="5"/>
      <c r="X22" s="5"/>
      <c r="Y22" s="5"/>
      <c r="Z22" s="5"/>
      <c r="AA22" s="5"/>
      <c r="AB22" s="5"/>
      <c r="AC22" s="15"/>
      <c r="AD22" s="5"/>
      <c r="AE22" s="15"/>
      <c r="AF22" s="14" t="str">
        <f aca="true">IF(ISNUMBER(C22),IF(ISNUMBER(AE22),AE22-C22,TODAY()-C22),"")</f>
        <v/>
      </c>
      <c r="AG22" s="5"/>
    </row>
    <row r="23" customFormat="false" ht="15" hidden="false" customHeight="false" outlineLevel="0" collapsed="false">
      <c r="A23" s="5"/>
      <c r="B23" s="15"/>
      <c r="C23" s="15"/>
      <c r="D23" s="5"/>
      <c r="E23" s="5"/>
      <c r="F23" s="5"/>
      <c r="G23" s="5"/>
      <c r="H23" s="5"/>
      <c r="I23" s="5"/>
      <c r="J23" s="16"/>
      <c r="K23" s="17"/>
      <c r="L23" s="5"/>
      <c r="M23" s="5"/>
      <c r="N23" s="5"/>
      <c r="O23" s="13" t="str">
        <f aca="false">IF(AND(N23="Yes",ISNUMBER(C23)),C23+30,"")</f>
        <v/>
      </c>
      <c r="P23" s="15"/>
      <c r="Q23" s="6" t="str">
        <f aca="true">IF(OR(N23&lt;&gt;"Yes",NOT(ISNUMBER(O23))),"",IF(ISNUMBER(P23),IF(P23&lt;=O23,"On time","Late"),IF(TODAY()&gt;O23,"OVERDUE","Due in "&amp;(O23-TODAY())&amp;" days")))</f>
        <v/>
      </c>
      <c r="R23" s="5"/>
      <c r="S23" s="15"/>
      <c r="T23" s="15"/>
      <c r="U23" s="6" t="str">
        <f aca="true">IF(OR(R23&lt;&gt;"Yes",NOT(ISNUMBER(S23))),"",IF(ISNUMBER(T23),IF(T23&lt;=S23,"On time","Late"),IF(TODAY()&gt;S23,"OVERDUE","Due in "&amp;(S23-TODAY())&amp;" days")))</f>
        <v/>
      </c>
      <c r="V23" s="5"/>
      <c r="W23" s="5"/>
      <c r="X23" s="5"/>
      <c r="Y23" s="5"/>
      <c r="Z23" s="5"/>
      <c r="AA23" s="5"/>
      <c r="AB23" s="5"/>
      <c r="AC23" s="15"/>
      <c r="AD23" s="5"/>
      <c r="AE23" s="15"/>
      <c r="AF23" s="14" t="str">
        <f aca="true">IF(ISNUMBER(C23),IF(ISNUMBER(AE23),AE23-C23,TODAY()-C23),"")</f>
        <v/>
      </c>
      <c r="AG23" s="5"/>
    </row>
    <row r="24" customFormat="false" ht="15" hidden="false" customHeight="false" outlineLevel="0" collapsed="false">
      <c r="A24" s="5"/>
      <c r="B24" s="15"/>
      <c r="C24" s="15"/>
      <c r="D24" s="5"/>
      <c r="E24" s="5"/>
      <c r="F24" s="5"/>
      <c r="G24" s="5"/>
      <c r="H24" s="5"/>
      <c r="I24" s="5"/>
      <c r="J24" s="16"/>
      <c r="K24" s="17"/>
      <c r="L24" s="5"/>
      <c r="M24" s="5"/>
      <c r="N24" s="5"/>
      <c r="O24" s="13" t="str">
        <f aca="false">IF(AND(N24="Yes",ISNUMBER(C24)),C24+30,"")</f>
        <v/>
      </c>
      <c r="P24" s="15"/>
      <c r="Q24" s="6" t="str">
        <f aca="true">IF(OR(N24&lt;&gt;"Yes",NOT(ISNUMBER(O24))),"",IF(ISNUMBER(P24),IF(P24&lt;=O24,"On time","Late"),IF(TODAY()&gt;O24,"OVERDUE","Due in "&amp;(O24-TODAY())&amp;" days")))</f>
        <v/>
      </c>
      <c r="R24" s="5"/>
      <c r="S24" s="15"/>
      <c r="T24" s="15"/>
      <c r="U24" s="6" t="str">
        <f aca="true">IF(OR(R24&lt;&gt;"Yes",NOT(ISNUMBER(S24))),"",IF(ISNUMBER(T24),IF(T24&lt;=S24,"On time","Late"),IF(TODAY()&gt;S24,"OVERDUE","Due in "&amp;(S24-TODAY())&amp;" days")))</f>
        <v/>
      </c>
      <c r="V24" s="5"/>
      <c r="W24" s="5"/>
      <c r="X24" s="5"/>
      <c r="Y24" s="5"/>
      <c r="Z24" s="5"/>
      <c r="AA24" s="5"/>
      <c r="AB24" s="5"/>
      <c r="AC24" s="15"/>
      <c r="AD24" s="5"/>
      <c r="AE24" s="15"/>
      <c r="AF24" s="14" t="str">
        <f aca="true">IF(ISNUMBER(C24),IF(ISNUMBER(AE24),AE24-C24,TODAY()-C24),"")</f>
        <v/>
      </c>
      <c r="AG24" s="5"/>
    </row>
    <row r="25" customFormat="false" ht="15" hidden="false" customHeight="false" outlineLevel="0" collapsed="false">
      <c r="A25" s="5"/>
      <c r="B25" s="15"/>
      <c r="C25" s="15"/>
      <c r="D25" s="5"/>
      <c r="E25" s="5"/>
      <c r="F25" s="5"/>
      <c r="G25" s="5"/>
      <c r="H25" s="5"/>
      <c r="I25" s="5"/>
      <c r="J25" s="16"/>
      <c r="K25" s="17"/>
      <c r="L25" s="5"/>
      <c r="M25" s="5"/>
      <c r="N25" s="5"/>
      <c r="O25" s="13" t="str">
        <f aca="false">IF(AND(N25="Yes",ISNUMBER(C25)),C25+30,"")</f>
        <v/>
      </c>
      <c r="P25" s="15"/>
      <c r="Q25" s="6" t="str">
        <f aca="true">IF(OR(N25&lt;&gt;"Yes",NOT(ISNUMBER(O25))),"",IF(ISNUMBER(P25),IF(P25&lt;=O25,"On time","Late"),IF(TODAY()&gt;O25,"OVERDUE","Due in "&amp;(O25-TODAY())&amp;" days")))</f>
        <v/>
      </c>
      <c r="R25" s="5"/>
      <c r="S25" s="15"/>
      <c r="T25" s="15"/>
      <c r="U25" s="6" t="str">
        <f aca="true">IF(OR(R25&lt;&gt;"Yes",NOT(ISNUMBER(S25))),"",IF(ISNUMBER(T25),IF(T25&lt;=S25,"On time","Late"),IF(TODAY()&gt;S25,"OVERDUE","Due in "&amp;(S25-TODAY())&amp;" days")))</f>
        <v/>
      </c>
      <c r="V25" s="5"/>
      <c r="W25" s="5"/>
      <c r="X25" s="5"/>
      <c r="Y25" s="5"/>
      <c r="Z25" s="5"/>
      <c r="AA25" s="5"/>
      <c r="AB25" s="5"/>
      <c r="AC25" s="15"/>
      <c r="AD25" s="5"/>
      <c r="AE25" s="15"/>
      <c r="AF25" s="14" t="str">
        <f aca="true">IF(ISNUMBER(C25),IF(ISNUMBER(AE25),AE25-C25,TODAY()-C25),"")</f>
        <v/>
      </c>
      <c r="AG25" s="5"/>
    </row>
    <row r="26" customFormat="false" ht="15" hidden="false" customHeight="false" outlineLevel="0" collapsed="false">
      <c r="A26" s="5"/>
      <c r="B26" s="15"/>
      <c r="C26" s="15"/>
      <c r="D26" s="5"/>
      <c r="E26" s="5"/>
      <c r="F26" s="5"/>
      <c r="G26" s="5"/>
      <c r="H26" s="5"/>
      <c r="I26" s="5"/>
      <c r="J26" s="16"/>
      <c r="K26" s="17"/>
      <c r="L26" s="5"/>
      <c r="M26" s="5"/>
      <c r="N26" s="5"/>
      <c r="O26" s="13" t="str">
        <f aca="false">IF(AND(N26="Yes",ISNUMBER(C26)),C26+30,"")</f>
        <v/>
      </c>
      <c r="P26" s="15"/>
      <c r="Q26" s="6" t="str">
        <f aca="true">IF(OR(N26&lt;&gt;"Yes",NOT(ISNUMBER(O26))),"",IF(ISNUMBER(P26),IF(P26&lt;=O26,"On time","Late"),IF(TODAY()&gt;O26,"OVERDUE","Due in "&amp;(O26-TODAY())&amp;" days")))</f>
        <v/>
      </c>
      <c r="R26" s="5"/>
      <c r="S26" s="15"/>
      <c r="T26" s="15"/>
      <c r="U26" s="6" t="str">
        <f aca="true">IF(OR(R26&lt;&gt;"Yes",NOT(ISNUMBER(S26))),"",IF(ISNUMBER(T26),IF(T26&lt;=S26,"On time","Late"),IF(TODAY()&gt;S26,"OVERDUE","Due in "&amp;(S26-TODAY())&amp;" days")))</f>
        <v/>
      </c>
      <c r="V26" s="5"/>
      <c r="W26" s="5"/>
      <c r="X26" s="5"/>
      <c r="Y26" s="5"/>
      <c r="Z26" s="5"/>
      <c r="AA26" s="5"/>
      <c r="AB26" s="5"/>
      <c r="AC26" s="15"/>
      <c r="AD26" s="5"/>
      <c r="AE26" s="15"/>
      <c r="AF26" s="14" t="str">
        <f aca="true">IF(ISNUMBER(C26),IF(ISNUMBER(AE26),AE26-C26,TODAY()-C26),"")</f>
        <v/>
      </c>
      <c r="AG26" s="5"/>
    </row>
    <row r="27" customFormat="false" ht="15" hidden="false" customHeight="false" outlineLevel="0" collapsed="false">
      <c r="A27" s="5"/>
      <c r="B27" s="15"/>
      <c r="C27" s="15"/>
      <c r="D27" s="5"/>
      <c r="E27" s="5"/>
      <c r="F27" s="5"/>
      <c r="G27" s="5"/>
      <c r="H27" s="5"/>
      <c r="I27" s="5"/>
      <c r="J27" s="16"/>
      <c r="K27" s="17"/>
      <c r="L27" s="5"/>
      <c r="M27" s="5"/>
      <c r="N27" s="5"/>
      <c r="O27" s="13" t="str">
        <f aca="false">IF(AND(N27="Yes",ISNUMBER(C27)),C27+30,"")</f>
        <v/>
      </c>
      <c r="P27" s="15"/>
      <c r="Q27" s="6" t="str">
        <f aca="true">IF(OR(N27&lt;&gt;"Yes",NOT(ISNUMBER(O27))),"",IF(ISNUMBER(P27),IF(P27&lt;=O27,"On time","Late"),IF(TODAY()&gt;O27,"OVERDUE","Due in "&amp;(O27-TODAY())&amp;" days")))</f>
        <v/>
      </c>
      <c r="R27" s="5"/>
      <c r="S27" s="15"/>
      <c r="T27" s="15"/>
      <c r="U27" s="6" t="str">
        <f aca="true">IF(OR(R27&lt;&gt;"Yes",NOT(ISNUMBER(S27))),"",IF(ISNUMBER(T27),IF(T27&lt;=S27,"On time","Late"),IF(TODAY()&gt;S27,"OVERDUE","Due in "&amp;(S27-TODAY())&amp;" days")))</f>
        <v/>
      </c>
      <c r="V27" s="5"/>
      <c r="W27" s="5"/>
      <c r="X27" s="5"/>
      <c r="Y27" s="5"/>
      <c r="Z27" s="5"/>
      <c r="AA27" s="5"/>
      <c r="AB27" s="5"/>
      <c r="AC27" s="15"/>
      <c r="AD27" s="5"/>
      <c r="AE27" s="15"/>
      <c r="AF27" s="14" t="str">
        <f aca="true">IF(ISNUMBER(C27),IF(ISNUMBER(AE27),AE27-C27,TODAY()-C27),"")</f>
        <v/>
      </c>
      <c r="AG27" s="5"/>
    </row>
    <row r="28" customFormat="false" ht="15" hidden="false" customHeight="false" outlineLevel="0" collapsed="false">
      <c r="A28" s="5"/>
      <c r="B28" s="15"/>
      <c r="C28" s="15"/>
      <c r="D28" s="5"/>
      <c r="E28" s="5"/>
      <c r="F28" s="5"/>
      <c r="G28" s="5"/>
      <c r="H28" s="5"/>
      <c r="I28" s="5"/>
      <c r="J28" s="16"/>
      <c r="K28" s="17"/>
      <c r="L28" s="5"/>
      <c r="M28" s="5"/>
      <c r="N28" s="5"/>
      <c r="O28" s="13" t="str">
        <f aca="false">IF(AND(N28="Yes",ISNUMBER(C28)),C28+30,"")</f>
        <v/>
      </c>
      <c r="P28" s="15"/>
      <c r="Q28" s="6" t="str">
        <f aca="true">IF(OR(N28&lt;&gt;"Yes",NOT(ISNUMBER(O28))),"",IF(ISNUMBER(P28),IF(P28&lt;=O28,"On time","Late"),IF(TODAY()&gt;O28,"OVERDUE","Due in "&amp;(O28-TODAY())&amp;" days")))</f>
        <v/>
      </c>
      <c r="R28" s="5"/>
      <c r="S28" s="15"/>
      <c r="T28" s="15"/>
      <c r="U28" s="6" t="str">
        <f aca="true">IF(OR(R28&lt;&gt;"Yes",NOT(ISNUMBER(S28))),"",IF(ISNUMBER(T28),IF(T28&lt;=S28,"On time","Late"),IF(TODAY()&gt;S28,"OVERDUE","Due in "&amp;(S28-TODAY())&amp;" days")))</f>
        <v/>
      </c>
      <c r="V28" s="5"/>
      <c r="W28" s="5"/>
      <c r="X28" s="5"/>
      <c r="Y28" s="5"/>
      <c r="Z28" s="5"/>
      <c r="AA28" s="5"/>
      <c r="AB28" s="5"/>
      <c r="AC28" s="15"/>
      <c r="AD28" s="5"/>
      <c r="AE28" s="15"/>
      <c r="AF28" s="14" t="str">
        <f aca="true">IF(ISNUMBER(C28),IF(ISNUMBER(AE28),AE28-C28,TODAY()-C28),"")</f>
        <v/>
      </c>
      <c r="AG28" s="5"/>
    </row>
    <row r="29" customFormat="false" ht="15" hidden="false" customHeight="false" outlineLevel="0" collapsed="false">
      <c r="A29" s="5"/>
      <c r="B29" s="15"/>
      <c r="C29" s="15"/>
      <c r="D29" s="5"/>
      <c r="E29" s="5"/>
      <c r="F29" s="5"/>
      <c r="G29" s="5"/>
      <c r="H29" s="5"/>
      <c r="I29" s="5"/>
      <c r="J29" s="16"/>
      <c r="K29" s="17"/>
      <c r="L29" s="5"/>
      <c r="M29" s="5"/>
      <c r="N29" s="5"/>
      <c r="O29" s="13" t="str">
        <f aca="false">IF(AND(N29="Yes",ISNUMBER(C29)),C29+30,"")</f>
        <v/>
      </c>
      <c r="P29" s="15"/>
      <c r="Q29" s="6" t="str">
        <f aca="true">IF(OR(N29&lt;&gt;"Yes",NOT(ISNUMBER(O29))),"",IF(ISNUMBER(P29),IF(P29&lt;=O29,"On time","Late"),IF(TODAY()&gt;O29,"OVERDUE","Due in "&amp;(O29-TODAY())&amp;" days")))</f>
        <v/>
      </c>
      <c r="R29" s="5"/>
      <c r="S29" s="15"/>
      <c r="T29" s="15"/>
      <c r="U29" s="6" t="str">
        <f aca="true">IF(OR(R29&lt;&gt;"Yes",NOT(ISNUMBER(S29))),"",IF(ISNUMBER(T29),IF(T29&lt;=S29,"On time","Late"),IF(TODAY()&gt;S29,"OVERDUE","Due in "&amp;(S29-TODAY())&amp;" days")))</f>
        <v/>
      </c>
      <c r="V29" s="5"/>
      <c r="W29" s="5"/>
      <c r="X29" s="5"/>
      <c r="Y29" s="5"/>
      <c r="Z29" s="5"/>
      <c r="AA29" s="5"/>
      <c r="AB29" s="5"/>
      <c r="AC29" s="15"/>
      <c r="AD29" s="5"/>
      <c r="AE29" s="15"/>
      <c r="AF29" s="14" t="str">
        <f aca="true">IF(ISNUMBER(C29),IF(ISNUMBER(AE29),AE29-C29,TODAY()-C29),"")</f>
        <v/>
      </c>
      <c r="AG29" s="5"/>
    </row>
    <row r="30" customFormat="false" ht="15" hidden="false" customHeight="false" outlineLevel="0" collapsed="false">
      <c r="A30" s="5"/>
      <c r="B30" s="15"/>
      <c r="C30" s="15"/>
      <c r="D30" s="5"/>
      <c r="E30" s="5"/>
      <c r="F30" s="5"/>
      <c r="G30" s="5"/>
      <c r="H30" s="5"/>
      <c r="I30" s="5"/>
      <c r="J30" s="16"/>
      <c r="K30" s="17"/>
      <c r="L30" s="5"/>
      <c r="M30" s="5"/>
      <c r="N30" s="5"/>
      <c r="O30" s="13" t="str">
        <f aca="false">IF(AND(N30="Yes",ISNUMBER(C30)),C30+30,"")</f>
        <v/>
      </c>
      <c r="P30" s="15"/>
      <c r="Q30" s="6" t="str">
        <f aca="true">IF(OR(N30&lt;&gt;"Yes",NOT(ISNUMBER(O30))),"",IF(ISNUMBER(P30),IF(P30&lt;=O30,"On time","Late"),IF(TODAY()&gt;O30,"OVERDUE","Due in "&amp;(O30-TODAY())&amp;" days")))</f>
        <v/>
      </c>
      <c r="R30" s="5"/>
      <c r="S30" s="15"/>
      <c r="T30" s="15"/>
      <c r="U30" s="6" t="str">
        <f aca="true">IF(OR(R30&lt;&gt;"Yes",NOT(ISNUMBER(S30))),"",IF(ISNUMBER(T30),IF(T30&lt;=S30,"On time","Late"),IF(TODAY()&gt;S30,"OVERDUE","Due in "&amp;(S30-TODAY())&amp;" days")))</f>
        <v/>
      </c>
      <c r="V30" s="5"/>
      <c r="W30" s="5"/>
      <c r="X30" s="5"/>
      <c r="Y30" s="5"/>
      <c r="Z30" s="5"/>
      <c r="AA30" s="5"/>
      <c r="AB30" s="5"/>
      <c r="AC30" s="15"/>
      <c r="AD30" s="5"/>
      <c r="AE30" s="15"/>
      <c r="AF30" s="14" t="str">
        <f aca="true">IF(ISNUMBER(C30),IF(ISNUMBER(AE30),AE30-C30,TODAY()-C30),"")</f>
        <v/>
      </c>
      <c r="AG30" s="5"/>
    </row>
    <row r="31" customFormat="false" ht="15" hidden="false" customHeight="false" outlineLevel="0" collapsed="false">
      <c r="A31" s="5"/>
      <c r="B31" s="15"/>
      <c r="C31" s="15"/>
      <c r="D31" s="5"/>
      <c r="E31" s="5"/>
      <c r="F31" s="5"/>
      <c r="G31" s="5"/>
      <c r="H31" s="5"/>
      <c r="I31" s="5"/>
      <c r="J31" s="16"/>
      <c r="K31" s="17"/>
      <c r="L31" s="5"/>
      <c r="M31" s="5"/>
      <c r="N31" s="5"/>
      <c r="O31" s="13" t="str">
        <f aca="false">IF(AND(N31="Yes",ISNUMBER(C31)),C31+30,"")</f>
        <v/>
      </c>
      <c r="P31" s="15"/>
      <c r="Q31" s="6" t="str">
        <f aca="true">IF(OR(N31&lt;&gt;"Yes",NOT(ISNUMBER(O31))),"",IF(ISNUMBER(P31),IF(P31&lt;=O31,"On time","Late"),IF(TODAY()&gt;O31,"OVERDUE","Due in "&amp;(O31-TODAY())&amp;" days")))</f>
        <v/>
      </c>
      <c r="R31" s="5"/>
      <c r="S31" s="15"/>
      <c r="T31" s="15"/>
      <c r="U31" s="6" t="str">
        <f aca="true">IF(OR(R31&lt;&gt;"Yes",NOT(ISNUMBER(S31))),"",IF(ISNUMBER(T31),IF(T31&lt;=S31,"On time","Late"),IF(TODAY()&gt;S31,"OVERDUE","Due in "&amp;(S31-TODAY())&amp;" days")))</f>
        <v/>
      </c>
      <c r="V31" s="5"/>
      <c r="W31" s="5"/>
      <c r="X31" s="5"/>
      <c r="Y31" s="5"/>
      <c r="Z31" s="5"/>
      <c r="AA31" s="5"/>
      <c r="AB31" s="5"/>
      <c r="AC31" s="15"/>
      <c r="AD31" s="5"/>
      <c r="AE31" s="15"/>
      <c r="AF31" s="14" t="str">
        <f aca="true">IF(ISNUMBER(C31),IF(ISNUMBER(AE31),AE31-C31,TODAY()-C31),"")</f>
        <v/>
      </c>
      <c r="AG31" s="5"/>
    </row>
    <row r="32" customFormat="false" ht="15" hidden="false" customHeight="false" outlineLevel="0" collapsed="false">
      <c r="A32" s="5"/>
      <c r="B32" s="15"/>
      <c r="C32" s="15"/>
      <c r="D32" s="5"/>
      <c r="E32" s="5"/>
      <c r="F32" s="5"/>
      <c r="G32" s="5"/>
      <c r="H32" s="5"/>
      <c r="I32" s="5"/>
      <c r="J32" s="16"/>
      <c r="K32" s="17"/>
      <c r="L32" s="5"/>
      <c r="M32" s="5"/>
      <c r="N32" s="5"/>
      <c r="O32" s="13" t="str">
        <f aca="false">IF(AND(N32="Yes",ISNUMBER(C32)),C32+30,"")</f>
        <v/>
      </c>
      <c r="P32" s="15"/>
      <c r="Q32" s="6" t="str">
        <f aca="true">IF(OR(N32&lt;&gt;"Yes",NOT(ISNUMBER(O32))),"",IF(ISNUMBER(P32),IF(P32&lt;=O32,"On time","Late"),IF(TODAY()&gt;O32,"OVERDUE","Due in "&amp;(O32-TODAY())&amp;" days")))</f>
        <v/>
      </c>
      <c r="R32" s="5"/>
      <c r="S32" s="15"/>
      <c r="T32" s="15"/>
      <c r="U32" s="6" t="str">
        <f aca="true">IF(OR(R32&lt;&gt;"Yes",NOT(ISNUMBER(S32))),"",IF(ISNUMBER(T32),IF(T32&lt;=S32,"On time","Late"),IF(TODAY()&gt;S32,"OVERDUE","Due in "&amp;(S32-TODAY())&amp;" days")))</f>
        <v/>
      </c>
      <c r="V32" s="5"/>
      <c r="W32" s="5"/>
      <c r="X32" s="5"/>
      <c r="Y32" s="5"/>
      <c r="Z32" s="5"/>
      <c r="AA32" s="5"/>
      <c r="AB32" s="5"/>
      <c r="AC32" s="15"/>
      <c r="AD32" s="5"/>
      <c r="AE32" s="15"/>
      <c r="AF32" s="14" t="str">
        <f aca="true">IF(ISNUMBER(C32),IF(ISNUMBER(AE32),AE32-C32,TODAY()-C32),"")</f>
        <v/>
      </c>
      <c r="AG32" s="5"/>
    </row>
    <row r="33" customFormat="false" ht="15" hidden="false" customHeight="false" outlineLevel="0" collapsed="false">
      <c r="A33" s="5"/>
      <c r="B33" s="15"/>
      <c r="C33" s="15"/>
      <c r="D33" s="5"/>
      <c r="E33" s="5"/>
      <c r="F33" s="5"/>
      <c r="G33" s="5"/>
      <c r="H33" s="5"/>
      <c r="I33" s="5"/>
      <c r="J33" s="16"/>
      <c r="K33" s="17"/>
      <c r="L33" s="5"/>
      <c r="M33" s="5"/>
      <c r="N33" s="5"/>
      <c r="O33" s="13" t="str">
        <f aca="false">IF(AND(N33="Yes",ISNUMBER(C33)),C33+30,"")</f>
        <v/>
      </c>
      <c r="P33" s="15"/>
      <c r="Q33" s="6" t="str">
        <f aca="true">IF(OR(N33&lt;&gt;"Yes",NOT(ISNUMBER(O33))),"",IF(ISNUMBER(P33),IF(P33&lt;=O33,"On time","Late"),IF(TODAY()&gt;O33,"OVERDUE","Due in "&amp;(O33-TODAY())&amp;" days")))</f>
        <v/>
      </c>
      <c r="R33" s="5"/>
      <c r="S33" s="15"/>
      <c r="T33" s="15"/>
      <c r="U33" s="6" t="str">
        <f aca="true">IF(OR(R33&lt;&gt;"Yes",NOT(ISNUMBER(S33))),"",IF(ISNUMBER(T33),IF(T33&lt;=S33,"On time","Late"),IF(TODAY()&gt;S33,"OVERDUE","Due in "&amp;(S33-TODAY())&amp;" days")))</f>
        <v/>
      </c>
      <c r="V33" s="5"/>
      <c r="W33" s="5"/>
      <c r="X33" s="5"/>
      <c r="Y33" s="5"/>
      <c r="Z33" s="5"/>
      <c r="AA33" s="5"/>
      <c r="AB33" s="5"/>
      <c r="AC33" s="15"/>
      <c r="AD33" s="5"/>
      <c r="AE33" s="15"/>
      <c r="AF33" s="14" t="str">
        <f aca="true">IF(ISNUMBER(C33),IF(ISNUMBER(AE33),AE33-C33,TODAY()-C33),"")</f>
        <v/>
      </c>
      <c r="AG33" s="5"/>
    </row>
    <row r="34" customFormat="false" ht="15" hidden="false" customHeight="false" outlineLevel="0" collapsed="false">
      <c r="A34" s="5"/>
      <c r="B34" s="15"/>
      <c r="C34" s="15"/>
      <c r="D34" s="5"/>
      <c r="E34" s="5"/>
      <c r="F34" s="5"/>
      <c r="G34" s="5"/>
      <c r="H34" s="5"/>
      <c r="I34" s="5"/>
      <c r="J34" s="16"/>
      <c r="K34" s="17"/>
      <c r="L34" s="5"/>
      <c r="M34" s="5"/>
      <c r="N34" s="5"/>
      <c r="O34" s="13" t="str">
        <f aca="false">IF(AND(N34="Yes",ISNUMBER(C34)),C34+30,"")</f>
        <v/>
      </c>
      <c r="P34" s="15"/>
      <c r="Q34" s="6" t="str">
        <f aca="true">IF(OR(N34&lt;&gt;"Yes",NOT(ISNUMBER(O34))),"",IF(ISNUMBER(P34),IF(P34&lt;=O34,"On time","Late"),IF(TODAY()&gt;O34,"OVERDUE","Due in "&amp;(O34-TODAY())&amp;" days")))</f>
        <v/>
      </c>
      <c r="R34" s="5"/>
      <c r="S34" s="15"/>
      <c r="T34" s="15"/>
      <c r="U34" s="6" t="str">
        <f aca="true">IF(OR(R34&lt;&gt;"Yes",NOT(ISNUMBER(S34))),"",IF(ISNUMBER(T34),IF(T34&lt;=S34,"On time","Late"),IF(TODAY()&gt;S34,"OVERDUE","Due in "&amp;(S34-TODAY())&amp;" days")))</f>
        <v/>
      </c>
      <c r="V34" s="5"/>
      <c r="W34" s="5"/>
      <c r="X34" s="5"/>
      <c r="Y34" s="5"/>
      <c r="Z34" s="5"/>
      <c r="AA34" s="5"/>
      <c r="AB34" s="5"/>
      <c r="AC34" s="15"/>
      <c r="AD34" s="5"/>
      <c r="AE34" s="15"/>
      <c r="AF34" s="14" t="str">
        <f aca="true">IF(ISNUMBER(C34),IF(ISNUMBER(AE34),AE34-C34,TODAY()-C34),"")</f>
        <v/>
      </c>
      <c r="AG34" s="5"/>
    </row>
    <row r="35" customFormat="false" ht="15" hidden="false" customHeight="false" outlineLevel="0" collapsed="false">
      <c r="A35" s="5"/>
      <c r="B35" s="15"/>
      <c r="C35" s="15"/>
      <c r="D35" s="5"/>
      <c r="E35" s="5"/>
      <c r="F35" s="5"/>
      <c r="G35" s="5"/>
      <c r="H35" s="5"/>
      <c r="I35" s="5"/>
      <c r="J35" s="16"/>
      <c r="K35" s="17"/>
      <c r="L35" s="5"/>
      <c r="M35" s="5"/>
      <c r="N35" s="5"/>
      <c r="O35" s="13" t="str">
        <f aca="false">IF(AND(N35="Yes",ISNUMBER(C35)),C35+30,"")</f>
        <v/>
      </c>
      <c r="P35" s="15"/>
      <c r="Q35" s="6" t="str">
        <f aca="true">IF(OR(N35&lt;&gt;"Yes",NOT(ISNUMBER(O35))),"",IF(ISNUMBER(P35),IF(P35&lt;=O35,"On time","Late"),IF(TODAY()&gt;O35,"OVERDUE","Due in "&amp;(O35-TODAY())&amp;" days")))</f>
        <v/>
      </c>
      <c r="R35" s="5"/>
      <c r="S35" s="15"/>
      <c r="T35" s="15"/>
      <c r="U35" s="6" t="str">
        <f aca="true">IF(OR(R35&lt;&gt;"Yes",NOT(ISNUMBER(S35))),"",IF(ISNUMBER(T35),IF(T35&lt;=S35,"On time","Late"),IF(TODAY()&gt;S35,"OVERDUE","Due in "&amp;(S35-TODAY())&amp;" days")))</f>
        <v/>
      </c>
      <c r="V35" s="5"/>
      <c r="W35" s="5"/>
      <c r="X35" s="5"/>
      <c r="Y35" s="5"/>
      <c r="Z35" s="5"/>
      <c r="AA35" s="5"/>
      <c r="AB35" s="5"/>
      <c r="AC35" s="15"/>
      <c r="AD35" s="5"/>
      <c r="AE35" s="15"/>
      <c r="AF35" s="14" t="str">
        <f aca="true">IF(ISNUMBER(C35),IF(ISNUMBER(AE35),AE35-C35,TODAY()-C35),"")</f>
        <v/>
      </c>
      <c r="AG35" s="5"/>
    </row>
    <row r="36" customFormat="false" ht="15" hidden="false" customHeight="false" outlineLevel="0" collapsed="false">
      <c r="A36" s="5"/>
      <c r="B36" s="15"/>
      <c r="C36" s="15"/>
      <c r="D36" s="5"/>
      <c r="E36" s="5"/>
      <c r="F36" s="5"/>
      <c r="G36" s="5"/>
      <c r="H36" s="5"/>
      <c r="I36" s="5"/>
      <c r="J36" s="16"/>
      <c r="K36" s="17"/>
      <c r="L36" s="5"/>
      <c r="M36" s="5"/>
      <c r="N36" s="5"/>
      <c r="O36" s="13" t="str">
        <f aca="false">IF(AND(N36="Yes",ISNUMBER(C36)),C36+30,"")</f>
        <v/>
      </c>
      <c r="P36" s="15"/>
      <c r="Q36" s="6" t="str">
        <f aca="true">IF(OR(N36&lt;&gt;"Yes",NOT(ISNUMBER(O36))),"",IF(ISNUMBER(P36),IF(P36&lt;=O36,"On time","Late"),IF(TODAY()&gt;O36,"OVERDUE","Due in "&amp;(O36-TODAY())&amp;" days")))</f>
        <v/>
      </c>
      <c r="R36" s="5"/>
      <c r="S36" s="15"/>
      <c r="T36" s="15"/>
      <c r="U36" s="6" t="str">
        <f aca="true">IF(OR(R36&lt;&gt;"Yes",NOT(ISNUMBER(S36))),"",IF(ISNUMBER(T36),IF(T36&lt;=S36,"On time","Late"),IF(TODAY()&gt;S36,"OVERDUE","Due in "&amp;(S36-TODAY())&amp;" days")))</f>
        <v/>
      </c>
      <c r="V36" s="5"/>
      <c r="W36" s="5"/>
      <c r="X36" s="5"/>
      <c r="Y36" s="5"/>
      <c r="Z36" s="5"/>
      <c r="AA36" s="5"/>
      <c r="AB36" s="5"/>
      <c r="AC36" s="15"/>
      <c r="AD36" s="5"/>
      <c r="AE36" s="15"/>
      <c r="AF36" s="14" t="str">
        <f aca="true">IF(ISNUMBER(C36),IF(ISNUMBER(AE36),AE36-C36,TODAY()-C36),"")</f>
        <v/>
      </c>
      <c r="AG36" s="5"/>
    </row>
    <row r="37" customFormat="false" ht="15" hidden="false" customHeight="false" outlineLevel="0" collapsed="false">
      <c r="A37" s="5"/>
      <c r="B37" s="15"/>
      <c r="C37" s="15"/>
      <c r="D37" s="5"/>
      <c r="E37" s="5"/>
      <c r="F37" s="5"/>
      <c r="G37" s="5"/>
      <c r="H37" s="5"/>
      <c r="I37" s="5"/>
      <c r="J37" s="16"/>
      <c r="K37" s="17"/>
      <c r="L37" s="5"/>
      <c r="M37" s="5"/>
      <c r="N37" s="5"/>
      <c r="O37" s="13" t="str">
        <f aca="false">IF(AND(N37="Yes",ISNUMBER(C37)),C37+30,"")</f>
        <v/>
      </c>
      <c r="P37" s="15"/>
      <c r="Q37" s="6" t="str">
        <f aca="true">IF(OR(N37&lt;&gt;"Yes",NOT(ISNUMBER(O37))),"",IF(ISNUMBER(P37),IF(P37&lt;=O37,"On time","Late"),IF(TODAY()&gt;O37,"OVERDUE","Due in "&amp;(O37-TODAY())&amp;" days")))</f>
        <v/>
      </c>
      <c r="R37" s="5"/>
      <c r="S37" s="15"/>
      <c r="T37" s="15"/>
      <c r="U37" s="6" t="str">
        <f aca="true">IF(OR(R37&lt;&gt;"Yes",NOT(ISNUMBER(S37))),"",IF(ISNUMBER(T37),IF(T37&lt;=S37,"On time","Late"),IF(TODAY()&gt;S37,"OVERDUE","Due in "&amp;(S37-TODAY())&amp;" days")))</f>
        <v/>
      </c>
      <c r="V37" s="5"/>
      <c r="W37" s="5"/>
      <c r="X37" s="5"/>
      <c r="Y37" s="5"/>
      <c r="Z37" s="5"/>
      <c r="AA37" s="5"/>
      <c r="AB37" s="5"/>
      <c r="AC37" s="15"/>
      <c r="AD37" s="5"/>
      <c r="AE37" s="15"/>
      <c r="AF37" s="14" t="str">
        <f aca="true">IF(ISNUMBER(C37),IF(ISNUMBER(AE37),AE37-C37,TODAY()-C37),"")</f>
        <v/>
      </c>
      <c r="AG37" s="5"/>
    </row>
    <row r="38" customFormat="false" ht="15" hidden="false" customHeight="false" outlineLevel="0" collapsed="false">
      <c r="A38" s="5"/>
      <c r="B38" s="15"/>
      <c r="C38" s="15"/>
      <c r="D38" s="5"/>
      <c r="E38" s="5"/>
      <c r="F38" s="5"/>
      <c r="G38" s="5"/>
      <c r="H38" s="5"/>
      <c r="I38" s="5"/>
      <c r="J38" s="16"/>
      <c r="K38" s="17"/>
      <c r="L38" s="5"/>
      <c r="M38" s="5"/>
      <c r="N38" s="5"/>
      <c r="O38" s="13" t="str">
        <f aca="false">IF(AND(N38="Yes",ISNUMBER(C38)),C38+30,"")</f>
        <v/>
      </c>
      <c r="P38" s="15"/>
      <c r="Q38" s="6" t="str">
        <f aca="true">IF(OR(N38&lt;&gt;"Yes",NOT(ISNUMBER(O38))),"",IF(ISNUMBER(P38),IF(P38&lt;=O38,"On time","Late"),IF(TODAY()&gt;O38,"OVERDUE","Due in "&amp;(O38-TODAY())&amp;" days")))</f>
        <v/>
      </c>
      <c r="R38" s="5"/>
      <c r="S38" s="15"/>
      <c r="T38" s="15"/>
      <c r="U38" s="6" t="str">
        <f aca="true">IF(OR(R38&lt;&gt;"Yes",NOT(ISNUMBER(S38))),"",IF(ISNUMBER(T38),IF(T38&lt;=S38,"On time","Late"),IF(TODAY()&gt;S38,"OVERDUE","Due in "&amp;(S38-TODAY())&amp;" days")))</f>
        <v/>
      </c>
      <c r="V38" s="5"/>
      <c r="W38" s="5"/>
      <c r="X38" s="5"/>
      <c r="Y38" s="5"/>
      <c r="Z38" s="5"/>
      <c r="AA38" s="5"/>
      <c r="AB38" s="5"/>
      <c r="AC38" s="15"/>
      <c r="AD38" s="5"/>
      <c r="AE38" s="15"/>
      <c r="AF38" s="14" t="str">
        <f aca="true">IF(ISNUMBER(C38),IF(ISNUMBER(AE38),AE38-C38,TODAY()-C38),"")</f>
        <v/>
      </c>
      <c r="AG38" s="5"/>
    </row>
    <row r="39" customFormat="false" ht="15" hidden="false" customHeight="false" outlineLevel="0" collapsed="false">
      <c r="A39" s="5"/>
      <c r="B39" s="15"/>
      <c r="C39" s="15"/>
      <c r="D39" s="5"/>
      <c r="E39" s="5"/>
      <c r="F39" s="5"/>
      <c r="G39" s="5"/>
      <c r="H39" s="5"/>
      <c r="I39" s="5"/>
      <c r="J39" s="16"/>
      <c r="K39" s="17"/>
      <c r="L39" s="5"/>
      <c r="M39" s="5"/>
      <c r="N39" s="5"/>
      <c r="O39" s="13" t="str">
        <f aca="false">IF(AND(N39="Yes",ISNUMBER(C39)),C39+30,"")</f>
        <v/>
      </c>
      <c r="P39" s="15"/>
      <c r="Q39" s="6" t="str">
        <f aca="true">IF(OR(N39&lt;&gt;"Yes",NOT(ISNUMBER(O39))),"",IF(ISNUMBER(P39),IF(P39&lt;=O39,"On time","Late"),IF(TODAY()&gt;O39,"OVERDUE","Due in "&amp;(O39-TODAY())&amp;" days")))</f>
        <v/>
      </c>
      <c r="R39" s="5"/>
      <c r="S39" s="15"/>
      <c r="T39" s="15"/>
      <c r="U39" s="6" t="str">
        <f aca="true">IF(OR(R39&lt;&gt;"Yes",NOT(ISNUMBER(S39))),"",IF(ISNUMBER(T39),IF(T39&lt;=S39,"On time","Late"),IF(TODAY()&gt;S39,"OVERDUE","Due in "&amp;(S39-TODAY())&amp;" days")))</f>
        <v/>
      </c>
      <c r="V39" s="5"/>
      <c r="W39" s="5"/>
      <c r="X39" s="5"/>
      <c r="Y39" s="5"/>
      <c r="Z39" s="5"/>
      <c r="AA39" s="5"/>
      <c r="AB39" s="5"/>
      <c r="AC39" s="15"/>
      <c r="AD39" s="5"/>
      <c r="AE39" s="15"/>
      <c r="AF39" s="14" t="str">
        <f aca="true">IF(ISNUMBER(C39),IF(ISNUMBER(AE39),AE39-C39,TODAY()-C39),"")</f>
        <v/>
      </c>
      <c r="AG39" s="5"/>
    </row>
    <row r="40" customFormat="false" ht="15" hidden="false" customHeight="false" outlineLevel="0" collapsed="false">
      <c r="A40" s="5"/>
      <c r="B40" s="15"/>
      <c r="C40" s="15"/>
      <c r="D40" s="5"/>
      <c r="E40" s="5"/>
      <c r="F40" s="5"/>
      <c r="G40" s="5"/>
      <c r="H40" s="5"/>
      <c r="I40" s="5"/>
      <c r="J40" s="16"/>
      <c r="K40" s="17"/>
      <c r="L40" s="5"/>
      <c r="M40" s="5"/>
      <c r="N40" s="5"/>
      <c r="O40" s="13" t="str">
        <f aca="false">IF(AND(N40="Yes",ISNUMBER(C40)),C40+30,"")</f>
        <v/>
      </c>
      <c r="P40" s="15"/>
      <c r="Q40" s="6" t="str">
        <f aca="true">IF(OR(N40&lt;&gt;"Yes",NOT(ISNUMBER(O40))),"",IF(ISNUMBER(P40),IF(P40&lt;=O40,"On time","Late"),IF(TODAY()&gt;O40,"OVERDUE","Due in "&amp;(O40-TODAY())&amp;" days")))</f>
        <v/>
      </c>
      <c r="R40" s="5"/>
      <c r="S40" s="15"/>
      <c r="T40" s="15"/>
      <c r="U40" s="6" t="str">
        <f aca="true">IF(OR(R40&lt;&gt;"Yes",NOT(ISNUMBER(S40))),"",IF(ISNUMBER(T40),IF(T40&lt;=S40,"On time","Late"),IF(TODAY()&gt;S40,"OVERDUE","Due in "&amp;(S40-TODAY())&amp;" days")))</f>
        <v/>
      </c>
      <c r="V40" s="5"/>
      <c r="W40" s="5"/>
      <c r="X40" s="5"/>
      <c r="Y40" s="5"/>
      <c r="Z40" s="5"/>
      <c r="AA40" s="5"/>
      <c r="AB40" s="5"/>
      <c r="AC40" s="15"/>
      <c r="AD40" s="5"/>
      <c r="AE40" s="15"/>
      <c r="AF40" s="14" t="str">
        <f aca="true">IF(ISNUMBER(C40),IF(ISNUMBER(AE40),AE40-C40,TODAY()-C40),"")</f>
        <v/>
      </c>
      <c r="AG40" s="5"/>
    </row>
    <row r="41" customFormat="false" ht="15" hidden="false" customHeight="false" outlineLevel="0" collapsed="false">
      <c r="A41" s="5"/>
      <c r="B41" s="15"/>
      <c r="C41" s="15"/>
      <c r="D41" s="5"/>
      <c r="E41" s="5"/>
      <c r="F41" s="5"/>
      <c r="G41" s="5"/>
      <c r="H41" s="5"/>
      <c r="I41" s="5"/>
      <c r="J41" s="16"/>
      <c r="K41" s="17"/>
      <c r="L41" s="5"/>
      <c r="M41" s="5"/>
      <c r="N41" s="5"/>
      <c r="O41" s="13" t="str">
        <f aca="false">IF(AND(N41="Yes",ISNUMBER(C41)),C41+30,"")</f>
        <v/>
      </c>
      <c r="P41" s="15"/>
      <c r="Q41" s="6" t="str">
        <f aca="true">IF(OR(N41&lt;&gt;"Yes",NOT(ISNUMBER(O41))),"",IF(ISNUMBER(P41),IF(P41&lt;=O41,"On time","Late"),IF(TODAY()&gt;O41,"OVERDUE","Due in "&amp;(O41-TODAY())&amp;" days")))</f>
        <v/>
      </c>
      <c r="R41" s="5"/>
      <c r="S41" s="15"/>
      <c r="T41" s="15"/>
      <c r="U41" s="6" t="str">
        <f aca="true">IF(OR(R41&lt;&gt;"Yes",NOT(ISNUMBER(S41))),"",IF(ISNUMBER(T41),IF(T41&lt;=S41,"On time","Late"),IF(TODAY()&gt;S41,"OVERDUE","Due in "&amp;(S41-TODAY())&amp;" days")))</f>
        <v/>
      </c>
      <c r="V41" s="5"/>
      <c r="W41" s="5"/>
      <c r="X41" s="5"/>
      <c r="Y41" s="5"/>
      <c r="Z41" s="5"/>
      <c r="AA41" s="5"/>
      <c r="AB41" s="5"/>
      <c r="AC41" s="15"/>
      <c r="AD41" s="5"/>
      <c r="AE41" s="15"/>
      <c r="AF41" s="14" t="str">
        <f aca="true">IF(ISNUMBER(C41),IF(ISNUMBER(AE41),AE41-C41,TODAY()-C41),"")</f>
        <v/>
      </c>
      <c r="AG41" s="5"/>
    </row>
    <row r="42" customFormat="false" ht="15" hidden="false" customHeight="false" outlineLevel="0" collapsed="false">
      <c r="A42" s="5"/>
      <c r="B42" s="15"/>
      <c r="C42" s="15"/>
      <c r="D42" s="5"/>
      <c r="E42" s="5"/>
      <c r="F42" s="5"/>
      <c r="G42" s="5"/>
      <c r="H42" s="5"/>
      <c r="I42" s="5"/>
      <c r="J42" s="16"/>
      <c r="K42" s="17"/>
      <c r="L42" s="5"/>
      <c r="M42" s="5"/>
      <c r="N42" s="5"/>
      <c r="O42" s="13" t="str">
        <f aca="false">IF(AND(N42="Yes",ISNUMBER(C42)),C42+30,"")</f>
        <v/>
      </c>
      <c r="P42" s="15"/>
      <c r="Q42" s="6" t="str">
        <f aca="true">IF(OR(N42&lt;&gt;"Yes",NOT(ISNUMBER(O42))),"",IF(ISNUMBER(P42),IF(P42&lt;=O42,"On time","Late"),IF(TODAY()&gt;O42,"OVERDUE","Due in "&amp;(O42-TODAY())&amp;" days")))</f>
        <v/>
      </c>
      <c r="R42" s="5"/>
      <c r="S42" s="15"/>
      <c r="T42" s="15"/>
      <c r="U42" s="6" t="str">
        <f aca="true">IF(OR(R42&lt;&gt;"Yes",NOT(ISNUMBER(S42))),"",IF(ISNUMBER(T42),IF(T42&lt;=S42,"On time","Late"),IF(TODAY()&gt;S42,"OVERDUE","Due in "&amp;(S42-TODAY())&amp;" days")))</f>
        <v/>
      </c>
      <c r="V42" s="5"/>
      <c r="W42" s="5"/>
      <c r="X42" s="5"/>
      <c r="Y42" s="5"/>
      <c r="Z42" s="5"/>
      <c r="AA42" s="5"/>
      <c r="AB42" s="5"/>
      <c r="AC42" s="15"/>
      <c r="AD42" s="5"/>
      <c r="AE42" s="15"/>
      <c r="AF42" s="14" t="str">
        <f aca="true">IF(ISNUMBER(C42),IF(ISNUMBER(AE42),AE42-C42,TODAY()-C42),"")</f>
        <v/>
      </c>
      <c r="AG42" s="5"/>
    </row>
    <row r="43" customFormat="false" ht="15" hidden="false" customHeight="false" outlineLevel="0" collapsed="false">
      <c r="A43" s="5"/>
      <c r="B43" s="15"/>
      <c r="C43" s="15"/>
      <c r="D43" s="5"/>
      <c r="E43" s="5"/>
      <c r="F43" s="5"/>
      <c r="G43" s="5"/>
      <c r="H43" s="5"/>
      <c r="I43" s="5"/>
      <c r="J43" s="16"/>
      <c r="K43" s="17"/>
      <c r="L43" s="5"/>
      <c r="M43" s="5"/>
      <c r="N43" s="5"/>
      <c r="O43" s="13" t="str">
        <f aca="false">IF(AND(N43="Yes",ISNUMBER(C43)),C43+30,"")</f>
        <v/>
      </c>
      <c r="P43" s="15"/>
      <c r="Q43" s="6" t="str">
        <f aca="true">IF(OR(N43&lt;&gt;"Yes",NOT(ISNUMBER(O43))),"",IF(ISNUMBER(P43),IF(P43&lt;=O43,"On time","Late"),IF(TODAY()&gt;O43,"OVERDUE","Due in "&amp;(O43-TODAY())&amp;" days")))</f>
        <v/>
      </c>
      <c r="R43" s="5"/>
      <c r="S43" s="15"/>
      <c r="T43" s="15"/>
      <c r="U43" s="6" t="str">
        <f aca="true">IF(OR(R43&lt;&gt;"Yes",NOT(ISNUMBER(S43))),"",IF(ISNUMBER(T43),IF(T43&lt;=S43,"On time","Late"),IF(TODAY()&gt;S43,"OVERDUE","Due in "&amp;(S43-TODAY())&amp;" days")))</f>
        <v/>
      </c>
      <c r="V43" s="5"/>
      <c r="W43" s="5"/>
      <c r="X43" s="5"/>
      <c r="Y43" s="5"/>
      <c r="Z43" s="5"/>
      <c r="AA43" s="5"/>
      <c r="AB43" s="5"/>
      <c r="AC43" s="15"/>
      <c r="AD43" s="5"/>
      <c r="AE43" s="15"/>
      <c r="AF43" s="14" t="str">
        <f aca="true">IF(ISNUMBER(C43),IF(ISNUMBER(AE43),AE43-C43,TODAY()-C43),"")</f>
        <v/>
      </c>
      <c r="AG43" s="5"/>
    </row>
    <row r="44" customFormat="false" ht="15" hidden="false" customHeight="false" outlineLevel="0" collapsed="false">
      <c r="A44" s="5"/>
      <c r="B44" s="15"/>
      <c r="C44" s="15"/>
      <c r="D44" s="5"/>
      <c r="E44" s="5"/>
      <c r="F44" s="5"/>
      <c r="G44" s="5"/>
      <c r="H44" s="5"/>
      <c r="I44" s="5"/>
      <c r="J44" s="16"/>
      <c r="K44" s="17"/>
      <c r="L44" s="5"/>
      <c r="M44" s="5"/>
      <c r="N44" s="5"/>
      <c r="O44" s="13" t="str">
        <f aca="false">IF(AND(N44="Yes",ISNUMBER(C44)),C44+30,"")</f>
        <v/>
      </c>
      <c r="P44" s="15"/>
      <c r="Q44" s="6" t="str">
        <f aca="true">IF(OR(N44&lt;&gt;"Yes",NOT(ISNUMBER(O44))),"",IF(ISNUMBER(P44),IF(P44&lt;=O44,"On time","Late"),IF(TODAY()&gt;O44,"OVERDUE","Due in "&amp;(O44-TODAY())&amp;" days")))</f>
        <v/>
      </c>
      <c r="R44" s="5"/>
      <c r="S44" s="15"/>
      <c r="T44" s="15"/>
      <c r="U44" s="6" t="str">
        <f aca="true">IF(OR(R44&lt;&gt;"Yes",NOT(ISNUMBER(S44))),"",IF(ISNUMBER(T44),IF(T44&lt;=S44,"On time","Late"),IF(TODAY()&gt;S44,"OVERDUE","Due in "&amp;(S44-TODAY())&amp;" days")))</f>
        <v/>
      </c>
      <c r="V44" s="5"/>
      <c r="W44" s="5"/>
      <c r="X44" s="5"/>
      <c r="Y44" s="5"/>
      <c r="Z44" s="5"/>
      <c r="AA44" s="5"/>
      <c r="AB44" s="5"/>
      <c r="AC44" s="15"/>
      <c r="AD44" s="5"/>
      <c r="AE44" s="15"/>
      <c r="AF44" s="14" t="str">
        <f aca="true">IF(ISNUMBER(C44),IF(ISNUMBER(AE44),AE44-C44,TODAY()-C44),"")</f>
        <v/>
      </c>
      <c r="AG44" s="5"/>
    </row>
    <row r="45" customFormat="false" ht="15" hidden="false" customHeight="false" outlineLevel="0" collapsed="false">
      <c r="A45" s="5"/>
      <c r="B45" s="15"/>
      <c r="C45" s="15"/>
      <c r="D45" s="5"/>
      <c r="E45" s="5"/>
      <c r="F45" s="5"/>
      <c r="G45" s="5"/>
      <c r="H45" s="5"/>
      <c r="I45" s="5"/>
      <c r="J45" s="16"/>
      <c r="K45" s="17"/>
      <c r="L45" s="5"/>
      <c r="M45" s="5"/>
      <c r="N45" s="5"/>
      <c r="O45" s="13" t="str">
        <f aca="false">IF(AND(N45="Yes",ISNUMBER(C45)),C45+30,"")</f>
        <v/>
      </c>
      <c r="P45" s="15"/>
      <c r="Q45" s="6" t="str">
        <f aca="true">IF(OR(N45&lt;&gt;"Yes",NOT(ISNUMBER(O45))),"",IF(ISNUMBER(P45),IF(P45&lt;=O45,"On time","Late"),IF(TODAY()&gt;O45,"OVERDUE","Due in "&amp;(O45-TODAY())&amp;" days")))</f>
        <v/>
      </c>
      <c r="R45" s="5"/>
      <c r="S45" s="15"/>
      <c r="T45" s="15"/>
      <c r="U45" s="6" t="str">
        <f aca="true">IF(OR(R45&lt;&gt;"Yes",NOT(ISNUMBER(S45))),"",IF(ISNUMBER(T45),IF(T45&lt;=S45,"On time","Late"),IF(TODAY()&gt;S45,"OVERDUE","Due in "&amp;(S45-TODAY())&amp;" days")))</f>
        <v/>
      </c>
      <c r="V45" s="5"/>
      <c r="W45" s="5"/>
      <c r="X45" s="5"/>
      <c r="Y45" s="5"/>
      <c r="Z45" s="5"/>
      <c r="AA45" s="5"/>
      <c r="AB45" s="5"/>
      <c r="AC45" s="15"/>
      <c r="AD45" s="5"/>
      <c r="AE45" s="15"/>
      <c r="AF45" s="14" t="str">
        <f aca="true">IF(ISNUMBER(C45),IF(ISNUMBER(AE45),AE45-C45,TODAY()-C45),"")</f>
        <v/>
      </c>
      <c r="AG45" s="5"/>
    </row>
    <row r="46" customFormat="false" ht="15" hidden="false" customHeight="false" outlineLevel="0" collapsed="false">
      <c r="A46" s="5"/>
      <c r="B46" s="15"/>
      <c r="C46" s="15"/>
      <c r="D46" s="5"/>
      <c r="E46" s="5"/>
      <c r="F46" s="5"/>
      <c r="G46" s="5"/>
      <c r="H46" s="5"/>
      <c r="I46" s="5"/>
      <c r="J46" s="16"/>
      <c r="K46" s="17"/>
      <c r="L46" s="5"/>
      <c r="M46" s="5"/>
      <c r="N46" s="5"/>
      <c r="O46" s="13" t="str">
        <f aca="false">IF(AND(N46="Yes",ISNUMBER(C46)),C46+30,"")</f>
        <v/>
      </c>
      <c r="P46" s="15"/>
      <c r="Q46" s="6" t="str">
        <f aca="true">IF(OR(N46&lt;&gt;"Yes",NOT(ISNUMBER(O46))),"",IF(ISNUMBER(P46),IF(P46&lt;=O46,"On time","Late"),IF(TODAY()&gt;O46,"OVERDUE","Due in "&amp;(O46-TODAY())&amp;" days")))</f>
        <v/>
      </c>
      <c r="R46" s="5"/>
      <c r="S46" s="15"/>
      <c r="T46" s="15"/>
      <c r="U46" s="6" t="str">
        <f aca="true">IF(OR(R46&lt;&gt;"Yes",NOT(ISNUMBER(S46))),"",IF(ISNUMBER(T46),IF(T46&lt;=S46,"On time","Late"),IF(TODAY()&gt;S46,"OVERDUE","Due in "&amp;(S46-TODAY())&amp;" days")))</f>
        <v/>
      </c>
      <c r="V46" s="5"/>
      <c r="W46" s="5"/>
      <c r="X46" s="5"/>
      <c r="Y46" s="5"/>
      <c r="Z46" s="5"/>
      <c r="AA46" s="5"/>
      <c r="AB46" s="5"/>
      <c r="AC46" s="15"/>
      <c r="AD46" s="5"/>
      <c r="AE46" s="15"/>
      <c r="AF46" s="14" t="str">
        <f aca="true">IF(ISNUMBER(C46),IF(ISNUMBER(AE46),AE46-C46,TODAY()-C46),"")</f>
        <v/>
      </c>
      <c r="AG46" s="5"/>
    </row>
    <row r="47" customFormat="false" ht="15" hidden="false" customHeight="false" outlineLevel="0" collapsed="false">
      <c r="A47" s="5"/>
      <c r="B47" s="15"/>
      <c r="C47" s="15"/>
      <c r="D47" s="5"/>
      <c r="E47" s="5"/>
      <c r="F47" s="5"/>
      <c r="G47" s="5"/>
      <c r="H47" s="5"/>
      <c r="I47" s="5"/>
      <c r="J47" s="16"/>
      <c r="K47" s="17"/>
      <c r="L47" s="5"/>
      <c r="M47" s="5"/>
      <c r="N47" s="5"/>
      <c r="O47" s="13" t="str">
        <f aca="false">IF(AND(N47="Yes",ISNUMBER(C47)),C47+30,"")</f>
        <v/>
      </c>
      <c r="P47" s="15"/>
      <c r="Q47" s="6" t="str">
        <f aca="true">IF(OR(N47&lt;&gt;"Yes",NOT(ISNUMBER(O47))),"",IF(ISNUMBER(P47),IF(P47&lt;=O47,"On time","Late"),IF(TODAY()&gt;O47,"OVERDUE","Due in "&amp;(O47-TODAY())&amp;" days")))</f>
        <v/>
      </c>
      <c r="R47" s="5"/>
      <c r="S47" s="15"/>
      <c r="T47" s="15"/>
      <c r="U47" s="6" t="str">
        <f aca="true">IF(OR(R47&lt;&gt;"Yes",NOT(ISNUMBER(S47))),"",IF(ISNUMBER(T47),IF(T47&lt;=S47,"On time","Late"),IF(TODAY()&gt;S47,"OVERDUE","Due in "&amp;(S47-TODAY())&amp;" days")))</f>
        <v/>
      </c>
      <c r="V47" s="5"/>
      <c r="W47" s="5"/>
      <c r="X47" s="5"/>
      <c r="Y47" s="5"/>
      <c r="Z47" s="5"/>
      <c r="AA47" s="5"/>
      <c r="AB47" s="5"/>
      <c r="AC47" s="15"/>
      <c r="AD47" s="5"/>
      <c r="AE47" s="15"/>
      <c r="AF47" s="14" t="str">
        <f aca="true">IF(ISNUMBER(C47),IF(ISNUMBER(AE47),AE47-C47,TODAY()-C47),"")</f>
        <v/>
      </c>
      <c r="AG47" s="5"/>
    </row>
    <row r="48" customFormat="false" ht="15" hidden="false" customHeight="false" outlineLevel="0" collapsed="false">
      <c r="A48" s="5"/>
      <c r="B48" s="15"/>
      <c r="C48" s="15"/>
      <c r="D48" s="5"/>
      <c r="E48" s="5"/>
      <c r="F48" s="5"/>
      <c r="G48" s="5"/>
      <c r="H48" s="5"/>
      <c r="I48" s="5"/>
      <c r="J48" s="16"/>
      <c r="K48" s="17"/>
      <c r="L48" s="5"/>
      <c r="M48" s="5"/>
      <c r="N48" s="5"/>
      <c r="O48" s="13" t="str">
        <f aca="false">IF(AND(N48="Yes",ISNUMBER(C48)),C48+30,"")</f>
        <v/>
      </c>
      <c r="P48" s="15"/>
      <c r="Q48" s="6" t="str">
        <f aca="true">IF(OR(N48&lt;&gt;"Yes",NOT(ISNUMBER(O48))),"",IF(ISNUMBER(P48),IF(P48&lt;=O48,"On time","Late"),IF(TODAY()&gt;O48,"OVERDUE","Due in "&amp;(O48-TODAY())&amp;" days")))</f>
        <v/>
      </c>
      <c r="R48" s="5"/>
      <c r="S48" s="15"/>
      <c r="T48" s="15"/>
      <c r="U48" s="6" t="str">
        <f aca="true">IF(OR(R48&lt;&gt;"Yes",NOT(ISNUMBER(S48))),"",IF(ISNUMBER(T48),IF(T48&lt;=S48,"On time","Late"),IF(TODAY()&gt;S48,"OVERDUE","Due in "&amp;(S48-TODAY())&amp;" days")))</f>
        <v/>
      </c>
      <c r="V48" s="5"/>
      <c r="W48" s="5"/>
      <c r="X48" s="5"/>
      <c r="Y48" s="5"/>
      <c r="Z48" s="5"/>
      <c r="AA48" s="5"/>
      <c r="AB48" s="5"/>
      <c r="AC48" s="15"/>
      <c r="AD48" s="5"/>
      <c r="AE48" s="15"/>
      <c r="AF48" s="14" t="str">
        <f aca="true">IF(ISNUMBER(C48),IF(ISNUMBER(AE48),AE48-C48,TODAY()-C48),"")</f>
        <v/>
      </c>
      <c r="AG48" s="5"/>
    </row>
    <row r="49" customFormat="false" ht="15" hidden="false" customHeight="false" outlineLevel="0" collapsed="false">
      <c r="A49" s="5"/>
      <c r="B49" s="15"/>
      <c r="C49" s="15"/>
      <c r="D49" s="5"/>
      <c r="E49" s="5"/>
      <c r="F49" s="5"/>
      <c r="G49" s="5"/>
      <c r="H49" s="5"/>
      <c r="I49" s="5"/>
      <c r="J49" s="16"/>
      <c r="K49" s="17"/>
      <c r="L49" s="5"/>
      <c r="M49" s="5"/>
      <c r="N49" s="5"/>
      <c r="O49" s="13" t="str">
        <f aca="false">IF(AND(N49="Yes",ISNUMBER(C49)),C49+30,"")</f>
        <v/>
      </c>
      <c r="P49" s="15"/>
      <c r="Q49" s="6" t="str">
        <f aca="true">IF(OR(N49&lt;&gt;"Yes",NOT(ISNUMBER(O49))),"",IF(ISNUMBER(P49),IF(P49&lt;=O49,"On time","Late"),IF(TODAY()&gt;O49,"OVERDUE","Due in "&amp;(O49-TODAY())&amp;" days")))</f>
        <v/>
      </c>
      <c r="R49" s="5"/>
      <c r="S49" s="15"/>
      <c r="T49" s="15"/>
      <c r="U49" s="6" t="str">
        <f aca="true">IF(OR(R49&lt;&gt;"Yes",NOT(ISNUMBER(S49))),"",IF(ISNUMBER(T49),IF(T49&lt;=S49,"On time","Late"),IF(TODAY()&gt;S49,"OVERDUE","Due in "&amp;(S49-TODAY())&amp;" days")))</f>
        <v/>
      </c>
      <c r="V49" s="5"/>
      <c r="W49" s="5"/>
      <c r="X49" s="5"/>
      <c r="Y49" s="5"/>
      <c r="Z49" s="5"/>
      <c r="AA49" s="5"/>
      <c r="AB49" s="5"/>
      <c r="AC49" s="15"/>
      <c r="AD49" s="5"/>
      <c r="AE49" s="15"/>
      <c r="AF49" s="14" t="str">
        <f aca="true">IF(ISNUMBER(C49),IF(ISNUMBER(AE49),AE49-C49,TODAY()-C49),"")</f>
        <v/>
      </c>
      <c r="AG49" s="5"/>
    </row>
    <row r="50" customFormat="false" ht="15" hidden="false" customHeight="false" outlineLevel="0" collapsed="false">
      <c r="A50" s="5"/>
      <c r="B50" s="15"/>
      <c r="C50" s="15"/>
      <c r="D50" s="5"/>
      <c r="E50" s="5"/>
      <c r="F50" s="5"/>
      <c r="G50" s="5"/>
      <c r="H50" s="5"/>
      <c r="I50" s="5"/>
      <c r="J50" s="16"/>
      <c r="K50" s="17"/>
      <c r="L50" s="5"/>
      <c r="M50" s="5"/>
      <c r="N50" s="5"/>
      <c r="O50" s="13" t="str">
        <f aca="false">IF(AND(N50="Yes",ISNUMBER(C50)),C50+30,"")</f>
        <v/>
      </c>
      <c r="P50" s="15"/>
      <c r="Q50" s="6" t="str">
        <f aca="true">IF(OR(N50&lt;&gt;"Yes",NOT(ISNUMBER(O50))),"",IF(ISNUMBER(P50),IF(P50&lt;=O50,"On time","Late"),IF(TODAY()&gt;O50,"OVERDUE","Due in "&amp;(O50-TODAY())&amp;" days")))</f>
        <v/>
      </c>
      <c r="R50" s="5"/>
      <c r="S50" s="15"/>
      <c r="T50" s="15"/>
      <c r="U50" s="6" t="str">
        <f aca="true">IF(OR(R50&lt;&gt;"Yes",NOT(ISNUMBER(S50))),"",IF(ISNUMBER(T50),IF(T50&lt;=S50,"On time","Late"),IF(TODAY()&gt;S50,"OVERDUE","Due in "&amp;(S50-TODAY())&amp;" days")))</f>
        <v/>
      </c>
      <c r="V50" s="5"/>
      <c r="W50" s="5"/>
      <c r="X50" s="5"/>
      <c r="Y50" s="5"/>
      <c r="Z50" s="5"/>
      <c r="AA50" s="5"/>
      <c r="AB50" s="5"/>
      <c r="AC50" s="15"/>
      <c r="AD50" s="5"/>
      <c r="AE50" s="15"/>
      <c r="AF50" s="14" t="str">
        <f aca="true">IF(ISNUMBER(C50),IF(ISNUMBER(AE50),AE50-C50,TODAY()-C50),"")</f>
        <v/>
      </c>
      <c r="AG50" s="5"/>
    </row>
    <row r="51" customFormat="false" ht="15" hidden="false" customHeight="false" outlineLevel="0" collapsed="false">
      <c r="A51" s="5"/>
      <c r="B51" s="15"/>
      <c r="C51" s="15"/>
      <c r="D51" s="5"/>
      <c r="E51" s="5"/>
      <c r="F51" s="5"/>
      <c r="G51" s="5"/>
      <c r="H51" s="5"/>
      <c r="I51" s="5"/>
      <c r="J51" s="16"/>
      <c r="K51" s="17"/>
      <c r="L51" s="5"/>
      <c r="M51" s="5"/>
      <c r="N51" s="5"/>
      <c r="O51" s="13" t="str">
        <f aca="false">IF(AND(N51="Yes",ISNUMBER(C51)),C51+30,"")</f>
        <v/>
      </c>
      <c r="P51" s="15"/>
      <c r="Q51" s="6" t="str">
        <f aca="true">IF(OR(N51&lt;&gt;"Yes",NOT(ISNUMBER(O51))),"",IF(ISNUMBER(P51),IF(P51&lt;=O51,"On time","Late"),IF(TODAY()&gt;O51,"OVERDUE","Due in "&amp;(O51-TODAY())&amp;" days")))</f>
        <v/>
      </c>
      <c r="R51" s="5"/>
      <c r="S51" s="15"/>
      <c r="T51" s="15"/>
      <c r="U51" s="6" t="str">
        <f aca="true">IF(OR(R51&lt;&gt;"Yes",NOT(ISNUMBER(S51))),"",IF(ISNUMBER(T51),IF(T51&lt;=S51,"On time","Late"),IF(TODAY()&gt;S51,"OVERDUE","Due in "&amp;(S51-TODAY())&amp;" days")))</f>
        <v/>
      </c>
      <c r="V51" s="5"/>
      <c r="W51" s="5"/>
      <c r="X51" s="5"/>
      <c r="Y51" s="5"/>
      <c r="Z51" s="5"/>
      <c r="AA51" s="5"/>
      <c r="AB51" s="5"/>
      <c r="AC51" s="15"/>
      <c r="AD51" s="5"/>
      <c r="AE51" s="15"/>
      <c r="AF51" s="14" t="str">
        <f aca="true">IF(ISNUMBER(C51),IF(ISNUMBER(AE51),AE51-C51,TODAY()-C51),"")</f>
        <v/>
      </c>
      <c r="AG51" s="5"/>
    </row>
    <row r="52" customFormat="false" ht="15" hidden="false" customHeight="false" outlineLevel="0" collapsed="false">
      <c r="A52" s="5"/>
      <c r="B52" s="15"/>
      <c r="C52" s="15"/>
      <c r="D52" s="5"/>
      <c r="E52" s="5"/>
      <c r="F52" s="5"/>
      <c r="G52" s="5"/>
      <c r="H52" s="5"/>
      <c r="I52" s="5"/>
      <c r="J52" s="16"/>
      <c r="K52" s="17"/>
      <c r="L52" s="5"/>
      <c r="M52" s="5"/>
      <c r="N52" s="5"/>
      <c r="O52" s="13" t="str">
        <f aca="false">IF(AND(N52="Yes",ISNUMBER(C52)),C52+30,"")</f>
        <v/>
      </c>
      <c r="P52" s="15"/>
      <c r="Q52" s="6" t="str">
        <f aca="true">IF(OR(N52&lt;&gt;"Yes",NOT(ISNUMBER(O52))),"",IF(ISNUMBER(P52),IF(P52&lt;=O52,"On time","Late"),IF(TODAY()&gt;O52,"OVERDUE","Due in "&amp;(O52-TODAY())&amp;" days")))</f>
        <v/>
      </c>
      <c r="R52" s="5"/>
      <c r="S52" s="15"/>
      <c r="T52" s="15"/>
      <c r="U52" s="6" t="str">
        <f aca="true">IF(OR(R52&lt;&gt;"Yes",NOT(ISNUMBER(S52))),"",IF(ISNUMBER(T52),IF(T52&lt;=S52,"On time","Late"),IF(TODAY()&gt;S52,"OVERDUE","Due in "&amp;(S52-TODAY())&amp;" days")))</f>
        <v/>
      </c>
      <c r="V52" s="5"/>
      <c r="W52" s="5"/>
      <c r="X52" s="5"/>
      <c r="Y52" s="5"/>
      <c r="Z52" s="5"/>
      <c r="AA52" s="5"/>
      <c r="AB52" s="5"/>
      <c r="AC52" s="15"/>
      <c r="AD52" s="5"/>
      <c r="AE52" s="15"/>
      <c r="AF52" s="14" t="str">
        <f aca="true">IF(ISNUMBER(C52),IF(ISNUMBER(AE52),AE52-C52,TODAY()-C52),"")</f>
        <v/>
      </c>
      <c r="AG52" s="5"/>
    </row>
    <row r="53" customFormat="false" ht="15" hidden="false" customHeight="false" outlineLevel="0" collapsed="false">
      <c r="A53" s="5"/>
      <c r="B53" s="15"/>
      <c r="C53" s="15"/>
      <c r="D53" s="5"/>
      <c r="E53" s="5"/>
      <c r="F53" s="5"/>
      <c r="G53" s="5"/>
      <c r="H53" s="5"/>
      <c r="I53" s="5"/>
      <c r="J53" s="16"/>
      <c r="K53" s="17"/>
      <c r="L53" s="5"/>
      <c r="M53" s="5"/>
      <c r="N53" s="5"/>
      <c r="O53" s="13" t="str">
        <f aca="false">IF(AND(N53="Yes",ISNUMBER(C53)),C53+30,"")</f>
        <v/>
      </c>
      <c r="P53" s="15"/>
      <c r="Q53" s="6" t="str">
        <f aca="true">IF(OR(N53&lt;&gt;"Yes",NOT(ISNUMBER(O53))),"",IF(ISNUMBER(P53),IF(P53&lt;=O53,"On time","Late"),IF(TODAY()&gt;O53,"OVERDUE","Due in "&amp;(O53-TODAY())&amp;" days")))</f>
        <v/>
      </c>
      <c r="R53" s="5"/>
      <c r="S53" s="15"/>
      <c r="T53" s="15"/>
      <c r="U53" s="6" t="str">
        <f aca="true">IF(OR(R53&lt;&gt;"Yes",NOT(ISNUMBER(S53))),"",IF(ISNUMBER(T53),IF(T53&lt;=S53,"On time","Late"),IF(TODAY()&gt;S53,"OVERDUE","Due in "&amp;(S53-TODAY())&amp;" days")))</f>
        <v/>
      </c>
      <c r="V53" s="5"/>
      <c r="W53" s="5"/>
      <c r="X53" s="5"/>
      <c r="Y53" s="5"/>
      <c r="Z53" s="5"/>
      <c r="AA53" s="5"/>
      <c r="AB53" s="5"/>
      <c r="AC53" s="15"/>
      <c r="AD53" s="5"/>
      <c r="AE53" s="15"/>
      <c r="AF53" s="14" t="str">
        <f aca="true">IF(ISNUMBER(C53),IF(ISNUMBER(AE53),AE53-C53,TODAY()-C53),"")</f>
        <v/>
      </c>
      <c r="AG53" s="5"/>
    </row>
    <row r="54" customFormat="false" ht="15" hidden="false" customHeight="false" outlineLevel="0" collapsed="false">
      <c r="A54" s="5"/>
      <c r="B54" s="15"/>
      <c r="C54" s="15"/>
      <c r="D54" s="5"/>
      <c r="E54" s="5"/>
      <c r="F54" s="5"/>
      <c r="G54" s="5"/>
      <c r="H54" s="5"/>
      <c r="I54" s="5"/>
      <c r="J54" s="16"/>
      <c r="K54" s="17"/>
      <c r="L54" s="5"/>
      <c r="M54" s="5"/>
      <c r="N54" s="5"/>
      <c r="O54" s="13" t="str">
        <f aca="false">IF(AND(N54="Yes",ISNUMBER(C54)),C54+30,"")</f>
        <v/>
      </c>
      <c r="P54" s="15"/>
      <c r="Q54" s="6" t="str">
        <f aca="true">IF(OR(N54&lt;&gt;"Yes",NOT(ISNUMBER(O54))),"",IF(ISNUMBER(P54),IF(P54&lt;=O54,"On time","Late"),IF(TODAY()&gt;O54,"OVERDUE","Due in "&amp;(O54-TODAY())&amp;" days")))</f>
        <v/>
      </c>
      <c r="R54" s="5"/>
      <c r="S54" s="15"/>
      <c r="T54" s="15"/>
      <c r="U54" s="6" t="str">
        <f aca="true">IF(OR(R54&lt;&gt;"Yes",NOT(ISNUMBER(S54))),"",IF(ISNUMBER(T54),IF(T54&lt;=S54,"On time","Late"),IF(TODAY()&gt;S54,"OVERDUE","Due in "&amp;(S54-TODAY())&amp;" days")))</f>
        <v/>
      </c>
      <c r="V54" s="5"/>
      <c r="W54" s="5"/>
      <c r="X54" s="5"/>
      <c r="Y54" s="5"/>
      <c r="Z54" s="5"/>
      <c r="AA54" s="5"/>
      <c r="AB54" s="5"/>
      <c r="AC54" s="15"/>
      <c r="AD54" s="5"/>
      <c r="AE54" s="15"/>
      <c r="AF54" s="14" t="str">
        <f aca="true">IF(ISNUMBER(C54),IF(ISNUMBER(AE54),AE54-C54,TODAY()-C54),"")</f>
        <v/>
      </c>
      <c r="AG54" s="5"/>
    </row>
    <row r="55" customFormat="false" ht="15" hidden="false" customHeight="false" outlineLevel="0" collapsed="false">
      <c r="A55" s="5"/>
      <c r="B55" s="15"/>
      <c r="C55" s="15"/>
      <c r="D55" s="5"/>
      <c r="E55" s="5"/>
      <c r="F55" s="5"/>
      <c r="G55" s="5"/>
      <c r="H55" s="5"/>
      <c r="I55" s="5"/>
      <c r="J55" s="16"/>
      <c r="K55" s="17"/>
      <c r="L55" s="5"/>
      <c r="M55" s="5"/>
      <c r="N55" s="5"/>
      <c r="O55" s="13" t="str">
        <f aca="false">IF(AND(N55="Yes",ISNUMBER(C55)),C55+30,"")</f>
        <v/>
      </c>
      <c r="P55" s="15"/>
      <c r="Q55" s="6" t="str">
        <f aca="true">IF(OR(N55&lt;&gt;"Yes",NOT(ISNUMBER(O55))),"",IF(ISNUMBER(P55),IF(P55&lt;=O55,"On time","Late"),IF(TODAY()&gt;O55,"OVERDUE","Due in "&amp;(O55-TODAY())&amp;" days")))</f>
        <v/>
      </c>
      <c r="R55" s="5"/>
      <c r="S55" s="15"/>
      <c r="T55" s="15"/>
      <c r="U55" s="6" t="str">
        <f aca="true">IF(OR(R55&lt;&gt;"Yes",NOT(ISNUMBER(S55))),"",IF(ISNUMBER(T55),IF(T55&lt;=S55,"On time","Late"),IF(TODAY()&gt;S55,"OVERDUE","Due in "&amp;(S55-TODAY())&amp;" days")))</f>
        <v/>
      </c>
      <c r="V55" s="5"/>
      <c r="W55" s="5"/>
      <c r="X55" s="5"/>
      <c r="Y55" s="5"/>
      <c r="Z55" s="5"/>
      <c r="AA55" s="5"/>
      <c r="AB55" s="5"/>
      <c r="AC55" s="15"/>
      <c r="AD55" s="5"/>
      <c r="AE55" s="15"/>
      <c r="AF55" s="14" t="str">
        <f aca="true">IF(ISNUMBER(C55),IF(ISNUMBER(AE55),AE55-C55,TODAY()-C55),"")</f>
        <v/>
      </c>
      <c r="AG55" s="5"/>
    </row>
    <row r="56" customFormat="false" ht="15" hidden="false" customHeight="false" outlineLevel="0" collapsed="false">
      <c r="A56" s="5"/>
      <c r="B56" s="15"/>
      <c r="C56" s="15"/>
      <c r="D56" s="5"/>
      <c r="E56" s="5"/>
      <c r="F56" s="5"/>
      <c r="G56" s="5"/>
      <c r="H56" s="5"/>
      <c r="I56" s="5"/>
      <c r="J56" s="16"/>
      <c r="K56" s="17"/>
      <c r="L56" s="5"/>
      <c r="M56" s="5"/>
      <c r="N56" s="5"/>
      <c r="O56" s="13" t="str">
        <f aca="false">IF(AND(N56="Yes",ISNUMBER(C56)),C56+30,"")</f>
        <v/>
      </c>
      <c r="P56" s="15"/>
      <c r="Q56" s="6" t="str">
        <f aca="true">IF(OR(N56&lt;&gt;"Yes",NOT(ISNUMBER(O56))),"",IF(ISNUMBER(P56),IF(P56&lt;=O56,"On time","Late"),IF(TODAY()&gt;O56,"OVERDUE","Due in "&amp;(O56-TODAY())&amp;" days")))</f>
        <v/>
      </c>
      <c r="R56" s="5"/>
      <c r="S56" s="15"/>
      <c r="T56" s="15"/>
      <c r="U56" s="6" t="str">
        <f aca="true">IF(OR(R56&lt;&gt;"Yes",NOT(ISNUMBER(S56))),"",IF(ISNUMBER(T56),IF(T56&lt;=S56,"On time","Late"),IF(TODAY()&gt;S56,"OVERDUE","Due in "&amp;(S56-TODAY())&amp;" days")))</f>
        <v/>
      </c>
      <c r="V56" s="5"/>
      <c r="W56" s="5"/>
      <c r="X56" s="5"/>
      <c r="Y56" s="5"/>
      <c r="Z56" s="5"/>
      <c r="AA56" s="5"/>
      <c r="AB56" s="5"/>
      <c r="AC56" s="15"/>
      <c r="AD56" s="5"/>
      <c r="AE56" s="15"/>
      <c r="AF56" s="14" t="str">
        <f aca="true">IF(ISNUMBER(C56),IF(ISNUMBER(AE56),AE56-C56,TODAY()-C56),"")</f>
        <v/>
      </c>
      <c r="AG56" s="5"/>
    </row>
    <row r="57" customFormat="false" ht="15" hidden="false" customHeight="false" outlineLevel="0" collapsed="false">
      <c r="A57" s="5"/>
      <c r="B57" s="15"/>
      <c r="C57" s="15"/>
      <c r="D57" s="5"/>
      <c r="E57" s="5"/>
      <c r="F57" s="5"/>
      <c r="G57" s="5"/>
      <c r="H57" s="5"/>
      <c r="I57" s="5"/>
      <c r="J57" s="16"/>
      <c r="K57" s="17"/>
      <c r="L57" s="5"/>
      <c r="M57" s="5"/>
      <c r="N57" s="5"/>
      <c r="O57" s="13" t="str">
        <f aca="false">IF(AND(N57="Yes",ISNUMBER(C57)),C57+30,"")</f>
        <v/>
      </c>
      <c r="P57" s="15"/>
      <c r="Q57" s="6" t="str">
        <f aca="true">IF(OR(N57&lt;&gt;"Yes",NOT(ISNUMBER(O57))),"",IF(ISNUMBER(P57),IF(P57&lt;=O57,"On time","Late"),IF(TODAY()&gt;O57,"OVERDUE","Due in "&amp;(O57-TODAY())&amp;" days")))</f>
        <v/>
      </c>
      <c r="R57" s="5"/>
      <c r="S57" s="15"/>
      <c r="T57" s="15"/>
      <c r="U57" s="6" t="str">
        <f aca="true">IF(OR(R57&lt;&gt;"Yes",NOT(ISNUMBER(S57))),"",IF(ISNUMBER(T57),IF(T57&lt;=S57,"On time","Late"),IF(TODAY()&gt;S57,"OVERDUE","Due in "&amp;(S57-TODAY())&amp;" days")))</f>
        <v/>
      </c>
      <c r="V57" s="5"/>
      <c r="W57" s="5"/>
      <c r="X57" s="5"/>
      <c r="Y57" s="5"/>
      <c r="Z57" s="5"/>
      <c r="AA57" s="5"/>
      <c r="AB57" s="5"/>
      <c r="AC57" s="15"/>
      <c r="AD57" s="5"/>
      <c r="AE57" s="15"/>
      <c r="AF57" s="14" t="str">
        <f aca="true">IF(ISNUMBER(C57),IF(ISNUMBER(AE57),AE57-C57,TODAY()-C57),"")</f>
        <v/>
      </c>
      <c r="AG57" s="5"/>
    </row>
    <row r="58" customFormat="false" ht="15" hidden="false" customHeight="false" outlineLevel="0" collapsed="false">
      <c r="A58" s="5"/>
      <c r="B58" s="15"/>
      <c r="C58" s="15"/>
      <c r="D58" s="5"/>
      <c r="E58" s="5"/>
      <c r="F58" s="5"/>
      <c r="G58" s="5"/>
      <c r="H58" s="5"/>
      <c r="I58" s="5"/>
      <c r="J58" s="16"/>
      <c r="K58" s="17"/>
      <c r="L58" s="5"/>
      <c r="M58" s="5"/>
      <c r="N58" s="5"/>
      <c r="O58" s="13" t="str">
        <f aca="false">IF(AND(N58="Yes",ISNUMBER(C58)),C58+30,"")</f>
        <v/>
      </c>
      <c r="P58" s="15"/>
      <c r="Q58" s="6" t="str">
        <f aca="true">IF(OR(N58&lt;&gt;"Yes",NOT(ISNUMBER(O58))),"",IF(ISNUMBER(P58),IF(P58&lt;=O58,"On time","Late"),IF(TODAY()&gt;O58,"OVERDUE","Due in "&amp;(O58-TODAY())&amp;" days")))</f>
        <v/>
      </c>
      <c r="R58" s="5"/>
      <c r="S58" s="15"/>
      <c r="T58" s="15"/>
      <c r="U58" s="6" t="str">
        <f aca="true">IF(OR(R58&lt;&gt;"Yes",NOT(ISNUMBER(S58))),"",IF(ISNUMBER(T58),IF(T58&lt;=S58,"On time","Late"),IF(TODAY()&gt;S58,"OVERDUE","Due in "&amp;(S58-TODAY())&amp;" days")))</f>
        <v/>
      </c>
      <c r="V58" s="5"/>
      <c r="W58" s="5"/>
      <c r="X58" s="5"/>
      <c r="Y58" s="5"/>
      <c r="Z58" s="5"/>
      <c r="AA58" s="5"/>
      <c r="AB58" s="5"/>
      <c r="AC58" s="15"/>
      <c r="AD58" s="5"/>
      <c r="AE58" s="15"/>
      <c r="AF58" s="14" t="str">
        <f aca="true">IF(ISNUMBER(C58),IF(ISNUMBER(AE58),AE58-C58,TODAY()-C58),"")</f>
        <v/>
      </c>
      <c r="AG58" s="5"/>
    </row>
    <row r="59" customFormat="false" ht="15" hidden="false" customHeight="false" outlineLevel="0" collapsed="false">
      <c r="A59" s="5"/>
      <c r="B59" s="15"/>
      <c r="C59" s="15"/>
      <c r="D59" s="5"/>
      <c r="E59" s="5"/>
      <c r="F59" s="5"/>
      <c r="G59" s="5"/>
      <c r="H59" s="5"/>
      <c r="I59" s="5"/>
      <c r="J59" s="16"/>
      <c r="K59" s="17"/>
      <c r="L59" s="5"/>
      <c r="M59" s="5"/>
      <c r="N59" s="5"/>
      <c r="O59" s="13" t="str">
        <f aca="false">IF(AND(N59="Yes",ISNUMBER(C59)),C59+30,"")</f>
        <v/>
      </c>
      <c r="P59" s="15"/>
      <c r="Q59" s="6" t="str">
        <f aca="true">IF(OR(N59&lt;&gt;"Yes",NOT(ISNUMBER(O59))),"",IF(ISNUMBER(P59),IF(P59&lt;=O59,"On time","Late"),IF(TODAY()&gt;O59,"OVERDUE","Due in "&amp;(O59-TODAY())&amp;" days")))</f>
        <v/>
      </c>
      <c r="R59" s="5"/>
      <c r="S59" s="15"/>
      <c r="T59" s="15"/>
      <c r="U59" s="6" t="str">
        <f aca="true">IF(OR(R59&lt;&gt;"Yes",NOT(ISNUMBER(S59))),"",IF(ISNUMBER(T59),IF(T59&lt;=S59,"On time","Late"),IF(TODAY()&gt;S59,"OVERDUE","Due in "&amp;(S59-TODAY())&amp;" days")))</f>
        <v/>
      </c>
      <c r="V59" s="5"/>
      <c r="W59" s="5"/>
      <c r="X59" s="5"/>
      <c r="Y59" s="5"/>
      <c r="Z59" s="5"/>
      <c r="AA59" s="5"/>
      <c r="AB59" s="5"/>
      <c r="AC59" s="15"/>
      <c r="AD59" s="5"/>
      <c r="AE59" s="15"/>
      <c r="AF59" s="14" t="str">
        <f aca="true">IF(ISNUMBER(C59),IF(ISNUMBER(AE59),AE59-C59,TODAY()-C59),"")</f>
        <v/>
      </c>
      <c r="AG59" s="5"/>
    </row>
    <row r="60" customFormat="false" ht="15" hidden="false" customHeight="false" outlineLevel="0" collapsed="false">
      <c r="A60" s="5"/>
      <c r="B60" s="15"/>
      <c r="C60" s="15"/>
      <c r="D60" s="5"/>
      <c r="E60" s="5"/>
      <c r="F60" s="5"/>
      <c r="G60" s="5"/>
      <c r="H60" s="5"/>
      <c r="I60" s="5"/>
      <c r="J60" s="16"/>
      <c r="K60" s="17"/>
      <c r="L60" s="5"/>
      <c r="M60" s="5"/>
      <c r="N60" s="5"/>
      <c r="O60" s="13" t="str">
        <f aca="false">IF(AND(N60="Yes",ISNUMBER(C60)),C60+30,"")</f>
        <v/>
      </c>
      <c r="P60" s="15"/>
      <c r="Q60" s="6" t="str">
        <f aca="true">IF(OR(N60&lt;&gt;"Yes",NOT(ISNUMBER(O60))),"",IF(ISNUMBER(P60),IF(P60&lt;=O60,"On time","Late"),IF(TODAY()&gt;O60,"OVERDUE","Due in "&amp;(O60-TODAY())&amp;" days")))</f>
        <v/>
      </c>
      <c r="R60" s="5"/>
      <c r="S60" s="15"/>
      <c r="T60" s="15"/>
      <c r="U60" s="6" t="str">
        <f aca="true">IF(OR(R60&lt;&gt;"Yes",NOT(ISNUMBER(S60))),"",IF(ISNUMBER(T60),IF(T60&lt;=S60,"On time","Late"),IF(TODAY()&gt;S60,"OVERDUE","Due in "&amp;(S60-TODAY())&amp;" days")))</f>
        <v/>
      </c>
      <c r="V60" s="5"/>
      <c r="W60" s="5"/>
      <c r="X60" s="5"/>
      <c r="Y60" s="5"/>
      <c r="Z60" s="5"/>
      <c r="AA60" s="5"/>
      <c r="AB60" s="5"/>
      <c r="AC60" s="15"/>
      <c r="AD60" s="5"/>
      <c r="AE60" s="15"/>
      <c r="AF60" s="14" t="str">
        <f aca="true">IF(ISNUMBER(C60),IF(ISNUMBER(AE60),AE60-C60,TODAY()-C60),"")</f>
        <v/>
      </c>
      <c r="AG60" s="5"/>
    </row>
    <row r="61" customFormat="false" ht="15" hidden="false" customHeight="false" outlineLevel="0" collapsed="false">
      <c r="A61" s="5"/>
      <c r="B61" s="15"/>
      <c r="C61" s="15"/>
      <c r="D61" s="5"/>
      <c r="E61" s="5"/>
      <c r="F61" s="5"/>
      <c r="G61" s="5"/>
      <c r="H61" s="5"/>
      <c r="I61" s="5"/>
      <c r="J61" s="16"/>
      <c r="K61" s="17"/>
      <c r="L61" s="5"/>
      <c r="M61" s="5"/>
      <c r="N61" s="5"/>
      <c r="O61" s="13" t="str">
        <f aca="false">IF(AND(N61="Yes",ISNUMBER(C61)),C61+30,"")</f>
        <v/>
      </c>
      <c r="P61" s="15"/>
      <c r="Q61" s="6" t="str">
        <f aca="true">IF(OR(N61&lt;&gt;"Yes",NOT(ISNUMBER(O61))),"",IF(ISNUMBER(P61),IF(P61&lt;=O61,"On time","Late"),IF(TODAY()&gt;O61,"OVERDUE","Due in "&amp;(O61-TODAY())&amp;" days")))</f>
        <v/>
      </c>
      <c r="R61" s="5"/>
      <c r="S61" s="15"/>
      <c r="T61" s="15"/>
      <c r="U61" s="6" t="str">
        <f aca="true">IF(OR(R61&lt;&gt;"Yes",NOT(ISNUMBER(S61))),"",IF(ISNUMBER(T61),IF(T61&lt;=S61,"On time","Late"),IF(TODAY()&gt;S61,"OVERDUE","Due in "&amp;(S61-TODAY())&amp;" days")))</f>
        <v/>
      </c>
      <c r="V61" s="5"/>
      <c r="W61" s="5"/>
      <c r="X61" s="5"/>
      <c r="Y61" s="5"/>
      <c r="Z61" s="5"/>
      <c r="AA61" s="5"/>
      <c r="AB61" s="5"/>
      <c r="AC61" s="15"/>
      <c r="AD61" s="5"/>
      <c r="AE61" s="15"/>
      <c r="AF61" s="14" t="str">
        <f aca="true">IF(ISNUMBER(C61),IF(ISNUMBER(AE61),AE61-C61,TODAY()-C61),"")</f>
        <v/>
      </c>
      <c r="AG61" s="5"/>
    </row>
    <row r="62" customFormat="false" ht="15" hidden="false" customHeight="false" outlineLevel="0" collapsed="false">
      <c r="A62" s="5"/>
      <c r="B62" s="15"/>
      <c r="C62" s="15"/>
      <c r="D62" s="5"/>
      <c r="E62" s="5"/>
      <c r="F62" s="5"/>
      <c r="G62" s="5"/>
      <c r="H62" s="5"/>
      <c r="I62" s="5"/>
      <c r="J62" s="16"/>
      <c r="K62" s="17"/>
      <c r="L62" s="5"/>
      <c r="M62" s="5"/>
      <c r="N62" s="5"/>
      <c r="O62" s="13" t="str">
        <f aca="false">IF(AND(N62="Yes",ISNUMBER(C62)),C62+30,"")</f>
        <v/>
      </c>
      <c r="P62" s="15"/>
      <c r="Q62" s="6" t="str">
        <f aca="true">IF(OR(N62&lt;&gt;"Yes",NOT(ISNUMBER(O62))),"",IF(ISNUMBER(P62),IF(P62&lt;=O62,"On time","Late"),IF(TODAY()&gt;O62,"OVERDUE","Due in "&amp;(O62-TODAY())&amp;" days")))</f>
        <v/>
      </c>
      <c r="R62" s="5"/>
      <c r="S62" s="15"/>
      <c r="T62" s="15"/>
      <c r="U62" s="6" t="str">
        <f aca="true">IF(OR(R62&lt;&gt;"Yes",NOT(ISNUMBER(S62))),"",IF(ISNUMBER(T62),IF(T62&lt;=S62,"On time","Late"),IF(TODAY()&gt;S62,"OVERDUE","Due in "&amp;(S62-TODAY())&amp;" days")))</f>
        <v/>
      </c>
      <c r="V62" s="5"/>
      <c r="W62" s="5"/>
      <c r="X62" s="5"/>
      <c r="Y62" s="5"/>
      <c r="Z62" s="5"/>
      <c r="AA62" s="5"/>
      <c r="AB62" s="5"/>
      <c r="AC62" s="15"/>
      <c r="AD62" s="5"/>
      <c r="AE62" s="15"/>
      <c r="AF62" s="14" t="str">
        <f aca="true">IF(ISNUMBER(C62),IF(ISNUMBER(AE62),AE62-C62,TODAY()-C62),"")</f>
        <v/>
      </c>
      <c r="AG62" s="5"/>
    </row>
    <row r="63" customFormat="false" ht="15" hidden="false" customHeight="false" outlineLevel="0" collapsed="false">
      <c r="A63" s="5"/>
      <c r="B63" s="15"/>
      <c r="C63" s="15"/>
      <c r="D63" s="5"/>
      <c r="E63" s="5"/>
      <c r="F63" s="5"/>
      <c r="G63" s="5"/>
      <c r="H63" s="5"/>
      <c r="I63" s="5"/>
      <c r="J63" s="16"/>
      <c r="K63" s="17"/>
      <c r="L63" s="5"/>
      <c r="M63" s="5"/>
      <c r="N63" s="5"/>
      <c r="O63" s="13" t="str">
        <f aca="false">IF(AND(N63="Yes",ISNUMBER(C63)),C63+30,"")</f>
        <v/>
      </c>
      <c r="P63" s="15"/>
      <c r="Q63" s="6" t="str">
        <f aca="true">IF(OR(N63&lt;&gt;"Yes",NOT(ISNUMBER(O63))),"",IF(ISNUMBER(P63),IF(P63&lt;=O63,"On time","Late"),IF(TODAY()&gt;O63,"OVERDUE","Due in "&amp;(O63-TODAY())&amp;" days")))</f>
        <v/>
      </c>
      <c r="R63" s="5"/>
      <c r="S63" s="15"/>
      <c r="T63" s="15"/>
      <c r="U63" s="6" t="str">
        <f aca="true">IF(OR(R63&lt;&gt;"Yes",NOT(ISNUMBER(S63))),"",IF(ISNUMBER(T63),IF(T63&lt;=S63,"On time","Late"),IF(TODAY()&gt;S63,"OVERDUE","Due in "&amp;(S63-TODAY())&amp;" days")))</f>
        <v/>
      </c>
      <c r="V63" s="5"/>
      <c r="W63" s="5"/>
      <c r="X63" s="5"/>
      <c r="Y63" s="5"/>
      <c r="Z63" s="5"/>
      <c r="AA63" s="5"/>
      <c r="AB63" s="5"/>
      <c r="AC63" s="15"/>
      <c r="AD63" s="5"/>
      <c r="AE63" s="15"/>
      <c r="AF63" s="14" t="str">
        <f aca="true">IF(ISNUMBER(C63),IF(ISNUMBER(AE63),AE63-C63,TODAY()-C63),"")</f>
        <v/>
      </c>
      <c r="AG63" s="5"/>
    </row>
    <row r="64" customFormat="false" ht="15" hidden="false" customHeight="false" outlineLevel="0" collapsed="false">
      <c r="A64" s="5"/>
      <c r="B64" s="15"/>
      <c r="C64" s="15"/>
      <c r="D64" s="5"/>
      <c r="E64" s="5"/>
      <c r="F64" s="5"/>
      <c r="G64" s="5"/>
      <c r="H64" s="5"/>
      <c r="I64" s="5"/>
      <c r="J64" s="16"/>
      <c r="K64" s="17"/>
      <c r="L64" s="5"/>
      <c r="M64" s="5"/>
      <c r="N64" s="5"/>
      <c r="O64" s="13" t="str">
        <f aca="false">IF(AND(N64="Yes",ISNUMBER(C64)),C64+30,"")</f>
        <v/>
      </c>
      <c r="P64" s="15"/>
      <c r="Q64" s="6" t="str">
        <f aca="true">IF(OR(N64&lt;&gt;"Yes",NOT(ISNUMBER(O64))),"",IF(ISNUMBER(P64),IF(P64&lt;=O64,"On time","Late"),IF(TODAY()&gt;O64,"OVERDUE","Due in "&amp;(O64-TODAY())&amp;" days")))</f>
        <v/>
      </c>
      <c r="R64" s="5"/>
      <c r="S64" s="15"/>
      <c r="T64" s="15"/>
      <c r="U64" s="6" t="str">
        <f aca="true">IF(OR(R64&lt;&gt;"Yes",NOT(ISNUMBER(S64))),"",IF(ISNUMBER(T64),IF(T64&lt;=S64,"On time","Late"),IF(TODAY()&gt;S64,"OVERDUE","Due in "&amp;(S64-TODAY())&amp;" days")))</f>
        <v/>
      </c>
      <c r="V64" s="5"/>
      <c r="W64" s="5"/>
      <c r="X64" s="5"/>
      <c r="Y64" s="5"/>
      <c r="Z64" s="5"/>
      <c r="AA64" s="5"/>
      <c r="AB64" s="5"/>
      <c r="AC64" s="15"/>
      <c r="AD64" s="5"/>
      <c r="AE64" s="15"/>
      <c r="AF64" s="14" t="str">
        <f aca="true">IF(ISNUMBER(C64),IF(ISNUMBER(AE64),AE64-C64,TODAY()-C64),"")</f>
        <v/>
      </c>
      <c r="AG64" s="5"/>
    </row>
    <row r="65" customFormat="false" ht="15" hidden="false" customHeight="false" outlineLevel="0" collapsed="false">
      <c r="A65" s="5"/>
      <c r="B65" s="15"/>
      <c r="C65" s="15"/>
      <c r="D65" s="5"/>
      <c r="E65" s="5"/>
      <c r="F65" s="5"/>
      <c r="G65" s="5"/>
      <c r="H65" s="5"/>
      <c r="I65" s="5"/>
      <c r="J65" s="16"/>
      <c r="K65" s="17"/>
      <c r="L65" s="5"/>
      <c r="M65" s="5"/>
      <c r="N65" s="5"/>
      <c r="O65" s="13" t="str">
        <f aca="false">IF(AND(N65="Yes",ISNUMBER(C65)),C65+30,"")</f>
        <v/>
      </c>
      <c r="P65" s="15"/>
      <c r="Q65" s="6" t="str">
        <f aca="true">IF(OR(N65&lt;&gt;"Yes",NOT(ISNUMBER(O65))),"",IF(ISNUMBER(P65),IF(P65&lt;=O65,"On time","Late"),IF(TODAY()&gt;O65,"OVERDUE","Due in "&amp;(O65-TODAY())&amp;" days")))</f>
        <v/>
      </c>
      <c r="R65" s="5"/>
      <c r="S65" s="15"/>
      <c r="T65" s="15"/>
      <c r="U65" s="6" t="str">
        <f aca="true">IF(OR(R65&lt;&gt;"Yes",NOT(ISNUMBER(S65))),"",IF(ISNUMBER(T65),IF(T65&lt;=S65,"On time","Late"),IF(TODAY()&gt;S65,"OVERDUE","Due in "&amp;(S65-TODAY())&amp;" days")))</f>
        <v/>
      </c>
      <c r="V65" s="5"/>
      <c r="W65" s="5"/>
      <c r="X65" s="5"/>
      <c r="Y65" s="5"/>
      <c r="Z65" s="5"/>
      <c r="AA65" s="5"/>
      <c r="AB65" s="5"/>
      <c r="AC65" s="15"/>
      <c r="AD65" s="5"/>
      <c r="AE65" s="15"/>
      <c r="AF65" s="14" t="str">
        <f aca="true">IF(ISNUMBER(C65),IF(ISNUMBER(AE65),AE65-C65,TODAY()-C65),"")</f>
        <v/>
      </c>
      <c r="AG65" s="5"/>
    </row>
    <row r="66" customFormat="false" ht="15" hidden="false" customHeight="false" outlineLevel="0" collapsed="false">
      <c r="A66" s="5"/>
      <c r="B66" s="15"/>
      <c r="C66" s="15"/>
      <c r="D66" s="5"/>
      <c r="E66" s="5"/>
      <c r="F66" s="5"/>
      <c r="G66" s="5"/>
      <c r="H66" s="5"/>
      <c r="I66" s="5"/>
      <c r="J66" s="16"/>
      <c r="K66" s="17"/>
      <c r="L66" s="5"/>
      <c r="M66" s="5"/>
      <c r="N66" s="5"/>
      <c r="O66" s="13" t="str">
        <f aca="false">IF(AND(N66="Yes",ISNUMBER(C66)),C66+30,"")</f>
        <v/>
      </c>
      <c r="P66" s="15"/>
      <c r="Q66" s="6" t="str">
        <f aca="true">IF(OR(N66&lt;&gt;"Yes",NOT(ISNUMBER(O66))),"",IF(ISNUMBER(P66),IF(P66&lt;=O66,"On time","Late"),IF(TODAY()&gt;O66,"OVERDUE","Due in "&amp;(O66-TODAY())&amp;" days")))</f>
        <v/>
      </c>
      <c r="R66" s="5"/>
      <c r="S66" s="15"/>
      <c r="T66" s="15"/>
      <c r="U66" s="6" t="str">
        <f aca="true">IF(OR(R66&lt;&gt;"Yes",NOT(ISNUMBER(S66))),"",IF(ISNUMBER(T66),IF(T66&lt;=S66,"On time","Late"),IF(TODAY()&gt;S66,"OVERDUE","Due in "&amp;(S66-TODAY())&amp;" days")))</f>
        <v/>
      </c>
      <c r="V66" s="5"/>
      <c r="W66" s="5"/>
      <c r="X66" s="5"/>
      <c r="Y66" s="5"/>
      <c r="Z66" s="5"/>
      <c r="AA66" s="5"/>
      <c r="AB66" s="5"/>
      <c r="AC66" s="15"/>
      <c r="AD66" s="5"/>
      <c r="AE66" s="15"/>
      <c r="AF66" s="14" t="str">
        <f aca="true">IF(ISNUMBER(C66),IF(ISNUMBER(AE66),AE66-C66,TODAY()-C66),"")</f>
        <v/>
      </c>
      <c r="AG66" s="5"/>
    </row>
    <row r="67" customFormat="false" ht="15" hidden="false" customHeight="false" outlineLevel="0" collapsed="false">
      <c r="A67" s="5"/>
      <c r="B67" s="15"/>
      <c r="C67" s="15"/>
      <c r="D67" s="5"/>
      <c r="E67" s="5"/>
      <c r="F67" s="5"/>
      <c r="G67" s="5"/>
      <c r="H67" s="5"/>
      <c r="I67" s="5"/>
      <c r="J67" s="16"/>
      <c r="K67" s="17"/>
      <c r="L67" s="5"/>
      <c r="M67" s="5"/>
      <c r="N67" s="5"/>
      <c r="O67" s="13" t="str">
        <f aca="false">IF(AND(N67="Yes",ISNUMBER(C67)),C67+30,"")</f>
        <v/>
      </c>
      <c r="P67" s="15"/>
      <c r="Q67" s="6" t="str">
        <f aca="true">IF(OR(N67&lt;&gt;"Yes",NOT(ISNUMBER(O67))),"",IF(ISNUMBER(P67),IF(P67&lt;=O67,"On time","Late"),IF(TODAY()&gt;O67,"OVERDUE","Due in "&amp;(O67-TODAY())&amp;" days")))</f>
        <v/>
      </c>
      <c r="R67" s="5"/>
      <c r="S67" s="15"/>
      <c r="T67" s="15"/>
      <c r="U67" s="6" t="str">
        <f aca="true">IF(OR(R67&lt;&gt;"Yes",NOT(ISNUMBER(S67))),"",IF(ISNUMBER(T67),IF(T67&lt;=S67,"On time","Late"),IF(TODAY()&gt;S67,"OVERDUE","Due in "&amp;(S67-TODAY())&amp;" days")))</f>
        <v/>
      </c>
      <c r="V67" s="5"/>
      <c r="W67" s="5"/>
      <c r="X67" s="5"/>
      <c r="Y67" s="5"/>
      <c r="Z67" s="5"/>
      <c r="AA67" s="5"/>
      <c r="AB67" s="5"/>
      <c r="AC67" s="15"/>
      <c r="AD67" s="5"/>
      <c r="AE67" s="15"/>
      <c r="AF67" s="14" t="str">
        <f aca="true">IF(ISNUMBER(C67),IF(ISNUMBER(AE67),AE67-C67,TODAY()-C67),"")</f>
        <v/>
      </c>
      <c r="AG67" s="5"/>
    </row>
    <row r="68" customFormat="false" ht="15" hidden="false" customHeight="false" outlineLevel="0" collapsed="false">
      <c r="A68" s="5"/>
      <c r="B68" s="15"/>
      <c r="C68" s="15"/>
      <c r="D68" s="5"/>
      <c r="E68" s="5"/>
      <c r="F68" s="5"/>
      <c r="G68" s="5"/>
      <c r="H68" s="5"/>
      <c r="I68" s="5"/>
      <c r="J68" s="16"/>
      <c r="K68" s="17"/>
      <c r="L68" s="5"/>
      <c r="M68" s="5"/>
      <c r="N68" s="5"/>
      <c r="O68" s="13" t="str">
        <f aca="false">IF(AND(N68="Yes",ISNUMBER(C68)),C68+30,"")</f>
        <v/>
      </c>
      <c r="P68" s="15"/>
      <c r="Q68" s="6" t="str">
        <f aca="true">IF(OR(N68&lt;&gt;"Yes",NOT(ISNUMBER(O68))),"",IF(ISNUMBER(P68),IF(P68&lt;=O68,"On time","Late"),IF(TODAY()&gt;O68,"OVERDUE","Due in "&amp;(O68-TODAY())&amp;" days")))</f>
        <v/>
      </c>
      <c r="R68" s="5"/>
      <c r="S68" s="15"/>
      <c r="T68" s="15"/>
      <c r="U68" s="6" t="str">
        <f aca="true">IF(OR(R68&lt;&gt;"Yes",NOT(ISNUMBER(S68))),"",IF(ISNUMBER(T68),IF(T68&lt;=S68,"On time","Late"),IF(TODAY()&gt;S68,"OVERDUE","Due in "&amp;(S68-TODAY())&amp;" days")))</f>
        <v/>
      </c>
      <c r="V68" s="5"/>
      <c r="W68" s="5"/>
      <c r="X68" s="5"/>
      <c r="Y68" s="5"/>
      <c r="Z68" s="5"/>
      <c r="AA68" s="5"/>
      <c r="AB68" s="5"/>
      <c r="AC68" s="15"/>
      <c r="AD68" s="5"/>
      <c r="AE68" s="15"/>
      <c r="AF68" s="14" t="str">
        <f aca="true">IF(ISNUMBER(C68),IF(ISNUMBER(AE68),AE68-C68,TODAY()-C68),"")</f>
        <v/>
      </c>
      <c r="AG68" s="5"/>
    </row>
    <row r="69" customFormat="false" ht="15" hidden="false" customHeight="false" outlineLevel="0" collapsed="false">
      <c r="A69" s="5"/>
      <c r="B69" s="15"/>
      <c r="C69" s="15"/>
      <c r="D69" s="5"/>
      <c r="E69" s="5"/>
      <c r="F69" s="5"/>
      <c r="G69" s="5"/>
      <c r="H69" s="5"/>
      <c r="I69" s="5"/>
      <c r="J69" s="16"/>
      <c r="K69" s="17"/>
      <c r="L69" s="5"/>
      <c r="M69" s="5"/>
      <c r="N69" s="5"/>
      <c r="O69" s="13" t="str">
        <f aca="false">IF(AND(N69="Yes",ISNUMBER(C69)),C69+30,"")</f>
        <v/>
      </c>
      <c r="P69" s="15"/>
      <c r="Q69" s="6" t="str">
        <f aca="true">IF(OR(N69&lt;&gt;"Yes",NOT(ISNUMBER(O69))),"",IF(ISNUMBER(P69),IF(P69&lt;=O69,"On time","Late"),IF(TODAY()&gt;O69,"OVERDUE","Due in "&amp;(O69-TODAY())&amp;" days")))</f>
        <v/>
      </c>
      <c r="R69" s="5"/>
      <c r="S69" s="15"/>
      <c r="T69" s="15"/>
      <c r="U69" s="6" t="str">
        <f aca="true">IF(OR(R69&lt;&gt;"Yes",NOT(ISNUMBER(S69))),"",IF(ISNUMBER(T69),IF(T69&lt;=S69,"On time","Late"),IF(TODAY()&gt;S69,"OVERDUE","Due in "&amp;(S69-TODAY())&amp;" days")))</f>
        <v/>
      </c>
      <c r="V69" s="5"/>
      <c r="W69" s="5"/>
      <c r="X69" s="5"/>
      <c r="Y69" s="5"/>
      <c r="Z69" s="5"/>
      <c r="AA69" s="5"/>
      <c r="AB69" s="5"/>
      <c r="AC69" s="15"/>
      <c r="AD69" s="5"/>
      <c r="AE69" s="15"/>
      <c r="AF69" s="14" t="str">
        <f aca="true">IF(ISNUMBER(C69),IF(ISNUMBER(AE69),AE69-C69,TODAY()-C69),"")</f>
        <v/>
      </c>
      <c r="AG69" s="5"/>
    </row>
    <row r="70" customFormat="false" ht="15" hidden="false" customHeight="false" outlineLevel="0" collapsed="false">
      <c r="A70" s="5"/>
      <c r="B70" s="15"/>
      <c r="C70" s="15"/>
      <c r="D70" s="5"/>
      <c r="E70" s="5"/>
      <c r="F70" s="5"/>
      <c r="G70" s="5"/>
      <c r="H70" s="5"/>
      <c r="I70" s="5"/>
      <c r="J70" s="16"/>
      <c r="K70" s="17"/>
      <c r="L70" s="5"/>
      <c r="M70" s="5"/>
      <c r="N70" s="5"/>
      <c r="O70" s="13" t="str">
        <f aca="false">IF(AND(N70="Yes",ISNUMBER(C70)),C70+30,"")</f>
        <v/>
      </c>
      <c r="P70" s="15"/>
      <c r="Q70" s="6" t="str">
        <f aca="true">IF(OR(N70&lt;&gt;"Yes",NOT(ISNUMBER(O70))),"",IF(ISNUMBER(P70),IF(P70&lt;=O70,"On time","Late"),IF(TODAY()&gt;O70,"OVERDUE","Due in "&amp;(O70-TODAY())&amp;" days")))</f>
        <v/>
      </c>
      <c r="R70" s="5"/>
      <c r="S70" s="15"/>
      <c r="T70" s="15"/>
      <c r="U70" s="6" t="str">
        <f aca="true">IF(OR(R70&lt;&gt;"Yes",NOT(ISNUMBER(S70))),"",IF(ISNUMBER(T70),IF(T70&lt;=S70,"On time","Late"),IF(TODAY()&gt;S70,"OVERDUE","Due in "&amp;(S70-TODAY())&amp;" days")))</f>
        <v/>
      </c>
      <c r="V70" s="5"/>
      <c r="W70" s="5"/>
      <c r="X70" s="5"/>
      <c r="Y70" s="5"/>
      <c r="Z70" s="5"/>
      <c r="AA70" s="5"/>
      <c r="AB70" s="5"/>
      <c r="AC70" s="15"/>
      <c r="AD70" s="5"/>
      <c r="AE70" s="15"/>
      <c r="AF70" s="14" t="str">
        <f aca="true">IF(ISNUMBER(C70),IF(ISNUMBER(AE70),AE70-C70,TODAY()-C70),"")</f>
        <v/>
      </c>
      <c r="AG70" s="5"/>
    </row>
    <row r="71" customFormat="false" ht="15" hidden="false" customHeight="false" outlineLevel="0" collapsed="false">
      <c r="A71" s="5"/>
      <c r="B71" s="15"/>
      <c r="C71" s="15"/>
      <c r="D71" s="5"/>
      <c r="E71" s="5"/>
      <c r="F71" s="5"/>
      <c r="G71" s="5"/>
      <c r="H71" s="5"/>
      <c r="I71" s="5"/>
      <c r="J71" s="16"/>
      <c r="K71" s="17"/>
      <c r="L71" s="5"/>
      <c r="M71" s="5"/>
      <c r="N71" s="5"/>
      <c r="O71" s="13" t="str">
        <f aca="false">IF(AND(N71="Yes",ISNUMBER(C71)),C71+30,"")</f>
        <v/>
      </c>
      <c r="P71" s="15"/>
      <c r="Q71" s="6" t="str">
        <f aca="true">IF(OR(N71&lt;&gt;"Yes",NOT(ISNUMBER(O71))),"",IF(ISNUMBER(P71),IF(P71&lt;=O71,"On time","Late"),IF(TODAY()&gt;O71,"OVERDUE","Due in "&amp;(O71-TODAY())&amp;" days")))</f>
        <v/>
      </c>
      <c r="R71" s="5"/>
      <c r="S71" s="15"/>
      <c r="T71" s="15"/>
      <c r="U71" s="6" t="str">
        <f aca="true">IF(OR(R71&lt;&gt;"Yes",NOT(ISNUMBER(S71))),"",IF(ISNUMBER(T71),IF(T71&lt;=S71,"On time","Late"),IF(TODAY()&gt;S71,"OVERDUE","Due in "&amp;(S71-TODAY())&amp;" days")))</f>
        <v/>
      </c>
      <c r="V71" s="5"/>
      <c r="W71" s="5"/>
      <c r="X71" s="5"/>
      <c r="Y71" s="5"/>
      <c r="Z71" s="5"/>
      <c r="AA71" s="5"/>
      <c r="AB71" s="5"/>
      <c r="AC71" s="15"/>
      <c r="AD71" s="5"/>
      <c r="AE71" s="15"/>
      <c r="AF71" s="14" t="str">
        <f aca="true">IF(ISNUMBER(C71),IF(ISNUMBER(AE71),AE71-C71,TODAY()-C71),"")</f>
        <v/>
      </c>
      <c r="AG71" s="5"/>
    </row>
    <row r="72" customFormat="false" ht="15" hidden="false" customHeight="false" outlineLevel="0" collapsed="false">
      <c r="A72" s="5"/>
      <c r="B72" s="15"/>
      <c r="C72" s="15"/>
      <c r="D72" s="5"/>
      <c r="E72" s="5"/>
      <c r="F72" s="5"/>
      <c r="G72" s="5"/>
      <c r="H72" s="5"/>
      <c r="I72" s="5"/>
      <c r="J72" s="16"/>
      <c r="K72" s="17"/>
      <c r="L72" s="5"/>
      <c r="M72" s="5"/>
      <c r="N72" s="5"/>
      <c r="O72" s="13" t="str">
        <f aca="false">IF(AND(N72="Yes",ISNUMBER(C72)),C72+30,"")</f>
        <v/>
      </c>
      <c r="P72" s="15"/>
      <c r="Q72" s="6" t="str">
        <f aca="true">IF(OR(N72&lt;&gt;"Yes",NOT(ISNUMBER(O72))),"",IF(ISNUMBER(P72),IF(P72&lt;=O72,"On time","Late"),IF(TODAY()&gt;O72,"OVERDUE","Due in "&amp;(O72-TODAY())&amp;" days")))</f>
        <v/>
      </c>
      <c r="R72" s="5"/>
      <c r="S72" s="15"/>
      <c r="T72" s="15"/>
      <c r="U72" s="6" t="str">
        <f aca="true">IF(OR(R72&lt;&gt;"Yes",NOT(ISNUMBER(S72))),"",IF(ISNUMBER(T72),IF(T72&lt;=S72,"On time","Late"),IF(TODAY()&gt;S72,"OVERDUE","Due in "&amp;(S72-TODAY())&amp;" days")))</f>
        <v/>
      </c>
      <c r="V72" s="5"/>
      <c r="W72" s="5"/>
      <c r="X72" s="5"/>
      <c r="Y72" s="5"/>
      <c r="Z72" s="5"/>
      <c r="AA72" s="5"/>
      <c r="AB72" s="5"/>
      <c r="AC72" s="15"/>
      <c r="AD72" s="5"/>
      <c r="AE72" s="15"/>
      <c r="AF72" s="14" t="str">
        <f aca="true">IF(ISNUMBER(C72),IF(ISNUMBER(AE72),AE72-C72,TODAY()-C72),"")</f>
        <v/>
      </c>
      <c r="AG72" s="5"/>
    </row>
    <row r="73" customFormat="false" ht="15" hidden="false" customHeight="false" outlineLevel="0" collapsed="false">
      <c r="A73" s="5"/>
      <c r="B73" s="15"/>
      <c r="C73" s="15"/>
      <c r="D73" s="5"/>
      <c r="E73" s="5"/>
      <c r="F73" s="5"/>
      <c r="G73" s="5"/>
      <c r="H73" s="5"/>
      <c r="I73" s="5"/>
      <c r="J73" s="16"/>
      <c r="K73" s="17"/>
      <c r="L73" s="5"/>
      <c r="M73" s="5"/>
      <c r="N73" s="5"/>
      <c r="O73" s="13" t="str">
        <f aca="false">IF(AND(N73="Yes",ISNUMBER(C73)),C73+30,"")</f>
        <v/>
      </c>
      <c r="P73" s="15"/>
      <c r="Q73" s="6" t="str">
        <f aca="true">IF(OR(N73&lt;&gt;"Yes",NOT(ISNUMBER(O73))),"",IF(ISNUMBER(P73),IF(P73&lt;=O73,"On time","Late"),IF(TODAY()&gt;O73,"OVERDUE","Due in "&amp;(O73-TODAY())&amp;" days")))</f>
        <v/>
      </c>
      <c r="R73" s="5"/>
      <c r="S73" s="15"/>
      <c r="T73" s="15"/>
      <c r="U73" s="6" t="str">
        <f aca="true">IF(OR(R73&lt;&gt;"Yes",NOT(ISNUMBER(S73))),"",IF(ISNUMBER(T73),IF(T73&lt;=S73,"On time","Late"),IF(TODAY()&gt;S73,"OVERDUE","Due in "&amp;(S73-TODAY())&amp;" days")))</f>
        <v/>
      </c>
      <c r="V73" s="5"/>
      <c r="W73" s="5"/>
      <c r="X73" s="5"/>
      <c r="Y73" s="5"/>
      <c r="Z73" s="5"/>
      <c r="AA73" s="5"/>
      <c r="AB73" s="5"/>
      <c r="AC73" s="15"/>
      <c r="AD73" s="5"/>
      <c r="AE73" s="15"/>
      <c r="AF73" s="14" t="str">
        <f aca="true">IF(ISNUMBER(C73),IF(ISNUMBER(AE73),AE73-C73,TODAY()-C73),"")</f>
        <v/>
      </c>
      <c r="AG73" s="5"/>
    </row>
    <row r="74" customFormat="false" ht="15" hidden="false" customHeight="false" outlineLevel="0" collapsed="false">
      <c r="A74" s="5"/>
      <c r="B74" s="15"/>
      <c r="C74" s="15"/>
      <c r="D74" s="5"/>
      <c r="E74" s="5"/>
      <c r="F74" s="5"/>
      <c r="G74" s="5"/>
      <c r="H74" s="5"/>
      <c r="I74" s="5"/>
      <c r="J74" s="16"/>
      <c r="K74" s="17"/>
      <c r="L74" s="5"/>
      <c r="M74" s="5"/>
      <c r="N74" s="5"/>
      <c r="O74" s="13" t="str">
        <f aca="false">IF(AND(N74="Yes",ISNUMBER(C74)),C74+30,"")</f>
        <v/>
      </c>
      <c r="P74" s="15"/>
      <c r="Q74" s="6" t="str">
        <f aca="true">IF(OR(N74&lt;&gt;"Yes",NOT(ISNUMBER(O74))),"",IF(ISNUMBER(P74),IF(P74&lt;=O74,"On time","Late"),IF(TODAY()&gt;O74,"OVERDUE","Due in "&amp;(O74-TODAY())&amp;" days")))</f>
        <v/>
      </c>
      <c r="R74" s="5"/>
      <c r="S74" s="15"/>
      <c r="T74" s="15"/>
      <c r="U74" s="6" t="str">
        <f aca="true">IF(OR(R74&lt;&gt;"Yes",NOT(ISNUMBER(S74))),"",IF(ISNUMBER(T74),IF(T74&lt;=S74,"On time","Late"),IF(TODAY()&gt;S74,"OVERDUE","Due in "&amp;(S74-TODAY())&amp;" days")))</f>
        <v/>
      </c>
      <c r="V74" s="5"/>
      <c r="W74" s="5"/>
      <c r="X74" s="5"/>
      <c r="Y74" s="5"/>
      <c r="Z74" s="5"/>
      <c r="AA74" s="5"/>
      <c r="AB74" s="5"/>
      <c r="AC74" s="15"/>
      <c r="AD74" s="5"/>
      <c r="AE74" s="15"/>
      <c r="AF74" s="14" t="str">
        <f aca="true">IF(ISNUMBER(C74),IF(ISNUMBER(AE74),AE74-C74,TODAY()-C74),"")</f>
        <v/>
      </c>
      <c r="AG74" s="5"/>
    </row>
    <row r="75" customFormat="false" ht="15" hidden="false" customHeight="false" outlineLevel="0" collapsed="false">
      <c r="A75" s="5"/>
      <c r="B75" s="15"/>
      <c r="C75" s="15"/>
      <c r="D75" s="5"/>
      <c r="E75" s="5"/>
      <c r="F75" s="5"/>
      <c r="G75" s="5"/>
      <c r="H75" s="5"/>
      <c r="I75" s="5"/>
      <c r="J75" s="16"/>
      <c r="K75" s="17"/>
      <c r="L75" s="5"/>
      <c r="M75" s="5"/>
      <c r="N75" s="5"/>
      <c r="O75" s="13" t="str">
        <f aca="false">IF(AND(N75="Yes",ISNUMBER(C75)),C75+30,"")</f>
        <v/>
      </c>
      <c r="P75" s="15"/>
      <c r="Q75" s="6" t="str">
        <f aca="true">IF(OR(N75&lt;&gt;"Yes",NOT(ISNUMBER(O75))),"",IF(ISNUMBER(P75),IF(P75&lt;=O75,"On time","Late"),IF(TODAY()&gt;O75,"OVERDUE","Due in "&amp;(O75-TODAY())&amp;" days")))</f>
        <v/>
      </c>
      <c r="R75" s="5"/>
      <c r="S75" s="15"/>
      <c r="T75" s="15"/>
      <c r="U75" s="6" t="str">
        <f aca="true">IF(OR(R75&lt;&gt;"Yes",NOT(ISNUMBER(S75))),"",IF(ISNUMBER(T75),IF(T75&lt;=S75,"On time","Late"),IF(TODAY()&gt;S75,"OVERDUE","Due in "&amp;(S75-TODAY())&amp;" days")))</f>
        <v/>
      </c>
      <c r="V75" s="5"/>
      <c r="W75" s="5"/>
      <c r="X75" s="5"/>
      <c r="Y75" s="5"/>
      <c r="Z75" s="5"/>
      <c r="AA75" s="5"/>
      <c r="AB75" s="5"/>
      <c r="AC75" s="15"/>
      <c r="AD75" s="5"/>
      <c r="AE75" s="15"/>
      <c r="AF75" s="14" t="str">
        <f aca="true">IF(ISNUMBER(C75),IF(ISNUMBER(AE75),AE75-C75,TODAY()-C75),"")</f>
        <v/>
      </c>
      <c r="AG75" s="5"/>
    </row>
    <row r="76" customFormat="false" ht="15" hidden="false" customHeight="false" outlineLevel="0" collapsed="false">
      <c r="A76" s="5"/>
      <c r="B76" s="15"/>
      <c r="C76" s="15"/>
      <c r="D76" s="5"/>
      <c r="E76" s="5"/>
      <c r="F76" s="5"/>
      <c r="G76" s="5"/>
      <c r="H76" s="5"/>
      <c r="I76" s="5"/>
      <c r="J76" s="16"/>
      <c r="K76" s="17"/>
      <c r="L76" s="5"/>
      <c r="M76" s="5"/>
      <c r="N76" s="5"/>
      <c r="O76" s="13" t="str">
        <f aca="false">IF(AND(N76="Yes",ISNUMBER(C76)),C76+30,"")</f>
        <v/>
      </c>
      <c r="P76" s="15"/>
      <c r="Q76" s="6" t="str">
        <f aca="true">IF(OR(N76&lt;&gt;"Yes",NOT(ISNUMBER(O76))),"",IF(ISNUMBER(P76),IF(P76&lt;=O76,"On time","Late"),IF(TODAY()&gt;O76,"OVERDUE","Due in "&amp;(O76-TODAY())&amp;" days")))</f>
        <v/>
      </c>
      <c r="R76" s="5"/>
      <c r="S76" s="15"/>
      <c r="T76" s="15"/>
      <c r="U76" s="6" t="str">
        <f aca="true">IF(OR(R76&lt;&gt;"Yes",NOT(ISNUMBER(S76))),"",IF(ISNUMBER(T76),IF(T76&lt;=S76,"On time","Late"),IF(TODAY()&gt;S76,"OVERDUE","Due in "&amp;(S76-TODAY())&amp;" days")))</f>
        <v/>
      </c>
      <c r="V76" s="5"/>
      <c r="W76" s="5"/>
      <c r="X76" s="5"/>
      <c r="Y76" s="5"/>
      <c r="Z76" s="5"/>
      <c r="AA76" s="5"/>
      <c r="AB76" s="5"/>
      <c r="AC76" s="15"/>
      <c r="AD76" s="5"/>
      <c r="AE76" s="15"/>
      <c r="AF76" s="14" t="str">
        <f aca="true">IF(ISNUMBER(C76),IF(ISNUMBER(AE76),AE76-C76,TODAY()-C76),"")</f>
        <v/>
      </c>
      <c r="AG76" s="5"/>
    </row>
    <row r="77" customFormat="false" ht="15" hidden="false" customHeight="false" outlineLevel="0" collapsed="false">
      <c r="A77" s="5"/>
      <c r="B77" s="15"/>
      <c r="C77" s="15"/>
      <c r="D77" s="5"/>
      <c r="E77" s="5"/>
      <c r="F77" s="5"/>
      <c r="G77" s="5"/>
      <c r="H77" s="5"/>
      <c r="I77" s="5"/>
      <c r="J77" s="16"/>
      <c r="K77" s="17"/>
      <c r="L77" s="5"/>
      <c r="M77" s="5"/>
      <c r="N77" s="5"/>
      <c r="O77" s="13" t="str">
        <f aca="false">IF(AND(N77="Yes",ISNUMBER(C77)),C77+30,"")</f>
        <v/>
      </c>
      <c r="P77" s="15"/>
      <c r="Q77" s="6" t="str">
        <f aca="true">IF(OR(N77&lt;&gt;"Yes",NOT(ISNUMBER(O77))),"",IF(ISNUMBER(P77),IF(P77&lt;=O77,"On time","Late"),IF(TODAY()&gt;O77,"OVERDUE","Due in "&amp;(O77-TODAY())&amp;" days")))</f>
        <v/>
      </c>
      <c r="R77" s="5"/>
      <c r="S77" s="15"/>
      <c r="T77" s="15"/>
      <c r="U77" s="6" t="str">
        <f aca="true">IF(OR(R77&lt;&gt;"Yes",NOT(ISNUMBER(S77))),"",IF(ISNUMBER(T77),IF(T77&lt;=S77,"On time","Late"),IF(TODAY()&gt;S77,"OVERDUE","Due in "&amp;(S77-TODAY())&amp;" days")))</f>
        <v/>
      </c>
      <c r="V77" s="5"/>
      <c r="W77" s="5"/>
      <c r="X77" s="5"/>
      <c r="Y77" s="5"/>
      <c r="Z77" s="5"/>
      <c r="AA77" s="5"/>
      <c r="AB77" s="5"/>
      <c r="AC77" s="15"/>
      <c r="AD77" s="5"/>
      <c r="AE77" s="15"/>
      <c r="AF77" s="14" t="str">
        <f aca="true">IF(ISNUMBER(C77),IF(ISNUMBER(AE77),AE77-C77,TODAY()-C77),"")</f>
        <v/>
      </c>
      <c r="AG77" s="5"/>
    </row>
    <row r="78" customFormat="false" ht="15" hidden="false" customHeight="false" outlineLevel="0" collapsed="false">
      <c r="A78" s="5"/>
      <c r="B78" s="15"/>
      <c r="C78" s="15"/>
      <c r="D78" s="5"/>
      <c r="E78" s="5"/>
      <c r="F78" s="5"/>
      <c r="G78" s="5"/>
      <c r="H78" s="5"/>
      <c r="I78" s="5"/>
      <c r="J78" s="16"/>
      <c r="K78" s="17"/>
      <c r="L78" s="5"/>
      <c r="M78" s="5"/>
      <c r="N78" s="5"/>
      <c r="O78" s="13" t="str">
        <f aca="false">IF(AND(N78="Yes",ISNUMBER(C78)),C78+30,"")</f>
        <v/>
      </c>
      <c r="P78" s="15"/>
      <c r="Q78" s="6" t="str">
        <f aca="true">IF(OR(N78&lt;&gt;"Yes",NOT(ISNUMBER(O78))),"",IF(ISNUMBER(P78),IF(P78&lt;=O78,"On time","Late"),IF(TODAY()&gt;O78,"OVERDUE","Due in "&amp;(O78-TODAY())&amp;" days")))</f>
        <v/>
      </c>
      <c r="R78" s="5"/>
      <c r="S78" s="15"/>
      <c r="T78" s="15"/>
      <c r="U78" s="6" t="str">
        <f aca="true">IF(OR(R78&lt;&gt;"Yes",NOT(ISNUMBER(S78))),"",IF(ISNUMBER(T78),IF(T78&lt;=S78,"On time","Late"),IF(TODAY()&gt;S78,"OVERDUE","Due in "&amp;(S78-TODAY())&amp;" days")))</f>
        <v/>
      </c>
      <c r="V78" s="5"/>
      <c r="W78" s="5"/>
      <c r="X78" s="5"/>
      <c r="Y78" s="5"/>
      <c r="Z78" s="5"/>
      <c r="AA78" s="5"/>
      <c r="AB78" s="5"/>
      <c r="AC78" s="15"/>
      <c r="AD78" s="5"/>
      <c r="AE78" s="15"/>
      <c r="AF78" s="14" t="str">
        <f aca="true">IF(ISNUMBER(C78),IF(ISNUMBER(AE78),AE78-C78,TODAY()-C78),"")</f>
        <v/>
      </c>
      <c r="AG78" s="5"/>
    </row>
    <row r="79" customFormat="false" ht="15" hidden="false" customHeight="false" outlineLevel="0" collapsed="false">
      <c r="A79" s="5"/>
      <c r="B79" s="15"/>
      <c r="C79" s="15"/>
      <c r="D79" s="5"/>
      <c r="E79" s="5"/>
      <c r="F79" s="5"/>
      <c r="G79" s="5"/>
      <c r="H79" s="5"/>
      <c r="I79" s="5"/>
      <c r="J79" s="16"/>
      <c r="K79" s="17"/>
      <c r="L79" s="5"/>
      <c r="M79" s="5"/>
      <c r="N79" s="5"/>
      <c r="O79" s="13" t="str">
        <f aca="false">IF(AND(N79="Yes",ISNUMBER(C79)),C79+30,"")</f>
        <v/>
      </c>
      <c r="P79" s="15"/>
      <c r="Q79" s="6" t="str">
        <f aca="true">IF(OR(N79&lt;&gt;"Yes",NOT(ISNUMBER(O79))),"",IF(ISNUMBER(P79),IF(P79&lt;=O79,"On time","Late"),IF(TODAY()&gt;O79,"OVERDUE","Due in "&amp;(O79-TODAY())&amp;" days")))</f>
        <v/>
      </c>
      <c r="R79" s="5"/>
      <c r="S79" s="15"/>
      <c r="T79" s="15"/>
      <c r="U79" s="6" t="str">
        <f aca="true">IF(OR(R79&lt;&gt;"Yes",NOT(ISNUMBER(S79))),"",IF(ISNUMBER(T79),IF(T79&lt;=S79,"On time","Late"),IF(TODAY()&gt;S79,"OVERDUE","Due in "&amp;(S79-TODAY())&amp;" days")))</f>
        <v/>
      </c>
      <c r="V79" s="5"/>
      <c r="W79" s="5"/>
      <c r="X79" s="5"/>
      <c r="Y79" s="5"/>
      <c r="Z79" s="5"/>
      <c r="AA79" s="5"/>
      <c r="AB79" s="5"/>
      <c r="AC79" s="15"/>
      <c r="AD79" s="5"/>
      <c r="AE79" s="15"/>
      <c r="AF79" s="14" t="str">
        <f aca="true">IF(ISNUMBER(C79),IF(ISNUMBER(AE79),AE79-C79,TODAY()-C79),"")</f>
        <v/>
      </c>
      <c r="AG79" s="5"/>
    </row>
    <row r="80" customFormat="false" ht="15" hidden="false" customHeight="false" outlineLevel="0" collapsed="false">
      <c r="A80" s="5"/>
      <c r="B80" s="15"/>
      <c r="C80" s="15"/>
      <c r="D80" s="5"/>
      <c r="E80" s="5"/>
      <c r="F80" s="5"/>
      <c r="G80" s="5"/>
      <c r="H80" s="5"/>
      <c r="I80" s="5"/>
      <c r="J80" s="16"/>
      <c r="K80" s="17"/>
      <c r="L80" s="5"/>
      <c r="M80" s="5"/>
      <c r="N80" s="5"/>
      <c r="O80" s="13" t="str">
        <f aca="false">IF(AND(N80="Yes",ISNUMBER(C80)),C80+30,"")</f>
        <v/>
      </c>
      <c r="P80" s="15"/>
      <c r="Q80" s="6" t="str">
        <f aca="true">IF(OR(N80&lt;&gt;"Yes",NOT(ISNUMBER(O80))),"",IF(ISNUMBER(P80),IF(P80&lt;=O80,"On time","Late"),IF(TODAY()&gt;O80,"OVERDUE","Due in "&amp;(O80-TODAY())&amp;" days")))</f>
        <v/>
      </c>
      <c r="R80" s="5"/>
      <c r="S80" s="15"/>
      <c r="T80" s="15"/>
      <c r="U80" s="6" t="str">
        <f aca="true">IF(OR(R80&lt;&gt;"Yes",NOT(ISNUMBER(S80))),"",IF(ISNUMBER(T80),IF(T80&lt;=S80,"On time","Late"),IF(TODAY()&gt;S80,"OVERDUE","Due in "&amp;(S80-TODAY())&amp;" days")))</f>
        <v/>
      </c>
      <c r="V80" s="5"/>
      <c r="W80" s="5"/>
      <c r="X80" s="5"/>
      <c r="Y80" s="5"/>
      <c r="Z80" s="5"/>
      <c r="AA80" s="5"/>
      <c r="AB80" s="5"/>
      <c r="AC80" s="15"/>
      <c r="AD80" s="5"/>
      <c r="AE80" s="15"/>
      <c r="AF80" s="14" t="str">
        <f aca="true">IF(ISNUMBER(C80),IF(ISNUMBER(AE80),AE80-C80,TODAY()-C80),"")</f>
        <v/>
      </c>
      <c r="AG80" s="5"/>
    </row>
    <row r="81" customFormat="false" ht="15" hidden="false" customHeight="false" outlineLevel="0" collapsed="false">
      <c r="A81" s="5"/>
      <c r="B81" s="15"/>
      <c r="C81" s="15"/>
      <c r="D81" s="5"/>
      <c r="E81" s="5"/>
      <c r="F81" s="5"/>
      <c r="G81" s="5"/>
      <c r="H81" s="5"/>
      <c r="I81" s="5"/>
      <c r="J81" s="16"/>
      <c r="K81" s="17"/>
      <c r="L81" s="5"/>
      <c r="M81" s="5"/>
      <c r="N81" s="5"/>
      <c r="O81" s="13" t="str">
        <f aca="false">IF(AND(N81="Yes",ISNUMBER(C81)),C81+30,"")</f>
        <v/>
      </c>
      <c r="P81" s="15"/>
      <c r="Q81" s="6" t="str">
        <f aca="true">IF(OR(N81&lt;&gt;"Yes",NOT(ISNUMBER(O81))),"",IF(ISNUMBER(P81),IF(P81&lt;=O81,"On time","Late"),IF(TODAY()&gt;O81,"OVERDUE","Due in "&amp;(O81-TODAY())&amp;" days")))</f>
        <v/>
      </c>
      <c r="R81" s="5"/>
      <c r="S81" s="15"/>
      <c r="T81" s="15"/>
      <c r="U81" s="6" t="str">
        <f aca="true">IF(OR(R81&lt;&gt;"Yes",NOT(ISNUMBER(S81))),"",IF(ISNUMBER(T81),IF(T81&lt;=S81,"On time","Late"),IF(TODAY()&gt;S81,"OVERDUE","Due in "&amp;(S81-TODAY())&amp;" days")))</f>
        <v/>
      </c>
      <c r="V81" s="5"/>
      <c r="W81" s="5"/>
      <c r="X81" s="5"/>
      <c r="Y81" s="5"/>
      <c r="Z81" s="5"/>
      <c r="AA81" s="5"/>
      <c r="AB81" s="5"/>
      <c r="AC81" s="15"/>
      <c r="AD81" s="5"/>
      <c r="AE81" s="15"/>
      <c r="AF81" s="14" t="str">
        <f aca="true">IF(ISNUMBER(C81),IF(ISNUMBER(AE81),AE81-C81,TODAY()-C81),"")</f>
        <v/>
      </c>
      <c r="AG81" s="5"/>
    </row>
    <row r="82" customFormat="false" ht="15" hidden="false" customHeight="false" outlineLevel="0" collapsed="false">
      <c r="A82" s="5"/>
      <c r="B82" s="15"/>
      <c r="C82" s="15"/>
      <c r="D82" s="5"/>
      <c r="E82" s="5"/>
      <c r="F82" s="5"/>
      <c r="G82" s="5"/>
      <c r="H82" s="5"/>
      <c r="I82" s="5"/>
      <c r="J82" s="16"/>
      <c r="K82" s="17"/>
      <c r="L82" s="5"/>
      <c r="M82" s="5"/>
      <c r="N82" s="5"/>
      <c r="O82" s="13" t="str">
        <f aca="false">IF(AND(N82="Yes",ISNUMBER(C82)),C82+30,"")</f>
        <v/>
      </c>
      <c r="P82" s="15"/>
      <c r="Q82" s="6" t="str">
        <f aca="true">IF(OR(N82&lt;&gt;"Yes",NOT(ISNUMBER(O82))),"",IF(ISNUMBER(P82),IF(P82&lt;=O82,"On time","Late"),IF(TODAY()&gt;O82,"OVERDUE","Due in "&amp;(O82-TODAY())&amp;" days")))</f>
        <v/>
      </c>
      <c r="R82" s="5"/>
      <c r="S82" s="15"/>
      <c r="T82" s="15"/>
      <c r="U82" s="6" t="str">
        <f aca="true">IF(OR(R82&lt;&gt;"Yes",NOT(ISNUMBER(S82))),"",IF(ISNUMBER(T82),IF(T82&lt;=S82,"On time","Late"),IF(TODAY()&gt;S82,"OVERDUE","Due in "&amp;(S82-TODAY())&amp;" days")))</f>
        <v/>
      </c>
      <c r="V82" s="5"/>
      <c r="W82" s="5"/>
      <c r="X82" s="5"/>
      <c r="Y82" s="5"/>
      <c r="Z82" s="5"/>
      <c r="AA82" s="5"/>
      <c r="AB82" s="5"/>
      <c r="AC82" s="15"/>
      <c r="AD82" s="5"/>
      <c r="AE82" s="15"/>
      <c r="AF82" s="14" t="str">
        <f aca="true">IF(ISNUMBER(C82),IF(ISNUMBER(AE82),AE82-C82,TODAY()-C82),"")</f>
        <v/>
      </c>
      <c r="AG82" s="5"/>
    </row>
    <row r="83" customFormat="false" ht="15" hidden="false" customHeight="false" outlineLevel="0" collapsed="false">
      <c r="A83" s="5"/>
      <c r="B83" s="15"/>
      <c r="C83" s="15"/>
      <c r="D83" s="5"/>
      <c r="E83" s="5"/>
      <c r="F83" s="5"/>
      <c r="G83" s="5"/>
      <c r="H83" s="5"/>
      <c r="I83" s="5"/>
      <c r="J83" s="16"/>
      <c r="K83" s="17"/>
      <c r="L83" s="5"/>
      <c r="M83" s="5"/>
      <c r="N83" s="5"/>
      <c r="O83" s="13" t="str">
        <f aca="false">IF(AND(N83="Yes",ISNUMBER(C83)),C83+30,"")</f>
        <v/>
      </c>
      <c r="P83" s="15"/>
      <c r="Q83" s="6" t="str">
        <f aca="true">IF(OR(N83&lt;&gt;"Yes",NOT(ISNUMBER(O83))),"",IF(ISNUMBER(P83),IF(P83&lt;=O83,"On time","Late"),IF(TODAY()&gt;O83,"OVERDUE","Due in "&amp;(O83-TODAY())&amp;" days")))</f>
        <v/>
      </c>
      <c r="R83" s="5"/>
      <c r="S83" s="15"/>
      <c r="T83" s="15"/>
      <c r="U83" s="6" t="str">
        <f aca="true">IF(OR(R83&lt;&gt;"Yes",NOT(ISNUMBER(S83))),"",IF(ISNUMBER(T83),IF(T83&lt;=S83,"On time","Late"),IF(TODAY()&gt;S83,"OVERDUE","Due in "&amp;(S83-TODAY())&amp;" days")))</f>
        <v/>
      </c>
      <c r="V83" s="5"/>
      <c r="W83" s="5"/>
      <c r="X83" s="5"/>
      <c r="Y83" s="5"/>
      <c r="Z83" s="5"/>
      <c r="AA83" s="5"/>
      <c r="AB83" s="5"/>
      <c r="AC83" s="15"/>
      <c r="AD83" s="5"/>
      <c r="AE83" s="15"/>
      <c r="AF83" s="14" t="str">
        <f aca="true">IF(ISNUMBER(C83),IF(ISNUMBER(AE83),AE83-C83,TODAY()-C83),"")</f>
        <v/>
      </c>
      <c r="AG83" s="5"/>
    </row>
    <row r="84" customFormat="false" ht="15" hidden="false" customHeight="false" outlineLevel="0" collapsed="false">
      <c r="A84" s="5"/>
      <c r="B84" s="15"/>
      <c r="C84" s="15"/>
      <c r="D84" s="5"/>
      <c r="E84" s="5"/>
      <c r="F84" s="5"/>
      <c r="G84" s="5"/>
      <c r="H84" s="5"/>
      <c r="I84" s="5"/>
      <c r="J84" s="16"/>
      <c r="K84" s="17"/>
      <c r="L84" s="5"/>
      <c r="M84" s="5"/>
      <c r="N84" s="5"/>
      <c r="O84" s="13" t="str">
        <f aca="false">IF(AND(N84="Yes",ISNUMBER(C84)),C84+30,"")</f>
        <v/>
      </c>
      <c r="P84" s="15"/>
      <c r="Q84" s="6" t="str">
        <f aca="true">IF(OR(N84&lt;&gt;"Yes",NOT(ISNUMBER(O84))),"",IF(ISNUMBER(P84),IF(P84&lt;=O84,"On time","Late"),IF(TODAY()&gt;O84,"OVERDUE","Due in "&amp;(O84-TODAY())&amp;" days")))</f>
        <v/>
      </c>
      <c r="R84" s="5"/>
      <c r="S84" s="15"/>
      <c r="T84" s="15"/>
      <c r="U84" s="6" t="str">
        <f aca="true">IF(OR(R84&lt;&gt;"Yes",NOT(ISNUMBER(S84))),"",IF(ISNUMBER(T84),IF(T84&lt;=S84,"On time","Late"),IF(TODAY()&gt;S84,"OVERDUE","Due in "&amp;(S84-TODAY())&amp;" days")))</f>
        <v/>
      </c>
      <c r="V84" s="5"/>
      <c r="W84" s="5"/>
      <c r="X84" s="5"/>
      <c r="Y84" s="5"/>
      <c r="Z84" s="5"/>
      <c r="AA84" s="5"/>
      <c r="AB84" s="5"/>
      <c r="AC84" s="15"/>
      <c r="AD84" s="5"/>
      <c r="AE84" s="15"/>
      <c r="AF84" s="14" t="str">
        <f aca="true">IF(ISNUMBER(C84),IF(ISNUMBER(AE84),AE84-C84,TODAY()-C84),"")</f>
        <v/>
      </c>
      <c r="AG84" s="5"/>
    </row>
    <row r="85" customFormat="false" ht="15" hidden="false" customHeight="false" outlineLevel="0" collapsed="false">
      <c r="A85" s="5"/>
      <c r="B85" s="15"/>
      <c r="C85" s="15"/>
      <c r="D85" s="5"/>
      <c r="E85" s="5"/>
      <c r="F85" s="5"/>
      <c r="G85" s="5"/>
      <c r="H85" s="5"/>
      <c r="I85" s="5"/>
      <c r="J85" s="16"/>
      <c r="K85" s="17"/>
      <c r="L85" s="5"/>
      <c r="M85" s="5"/>
      <c r="N85" s="5"/>
      <c r="O85" s="13" t="str">
        <f aca="false">IF(AND(N85="Yes",ISNUMBER(C85)),C85+30,"")</f>
        <v/>
      </c>
      <c r="P85" s="15"/>
      <c r="Q85" s="6" t="str">
        <f aca="true">IF(OR(N85&lt;&gt;"Yes",NOT(ISNUMBER(O85))),"",IF(ISNUMBER(P85),IF(P85&lt;=O85,"On time","Late"),IF(TODAY()&gt;O85,"OVERDUE","Due in "&amp;(O85-TODAY())&amp;" days")))</f>
        <v/>
      </c>
      <c r="R85" s="5"/>
      <c r="S85" s="15"/>
      <c r="T85" s="15"/>
      <c r="U85" s="6" t="str">
        <f aca="true">IF(OR(R85&lt;&gt;"Yes",NOT(ISNUMBER(S85))),"",IF(ISNUMBER(T85),IF(T85&lt;=S85,"On time","Late"),IF(TODAY()&gt;S85,"OVERDUE","Due in "&amp;(S85-TODAY())&amp;" days")))</f>
        <v/>
      </c>
      <c r="V85" s="5"/>
      <c r="W85" s="5"/>
      <c r="X85" s="5"/>
      <c r="Y85" s="5"/>
      <c r="Z85" s="5"/>
      <c r="AA85" s="5"/>
      <c r="AB85" s="5"/>
      <c r="AC85" s="15"/>
      <c r="AD85" s="5"/>
      <c r="AE85" s="15"/>
      <c r="AF85" s="14" t="str">
        <f aca="true">IF(ISNUMBER(C85),IF(ISNUMBER(AE85),AE85-C85,TODAY()-C85),"")</f>
        <v/>
      </c>
      <c r="AG85" s="5"/>
    </row>
    <row r="86" customFormat="false" ht="15" hidden="false" customHeight="false" outlineLevel="0" collapsed="false">
      <c r="A86" s="5"/>
      <c r="B86" s="15"/>
      <c r="C86" s="15"/>
      <c r="D86" s="5"/>
      <c r="E86" s="5"/>
      <c r="F86" s="5"/>
      <c r="G86" s="5"/>
      <c r="H86" s="5"/>
      <c r="I86" s="5"/>
      <c r="J86" s="16"/>
      <c r="K86" s="17"/>
      <c r="L86" s="5"/>
      <c r="M86" s="5"/>
      <c r="N86" s="5"/>
      <c r="O86" s="13" t="str">
        <f aca="false">IF(AND(N86="Yes",ISNUMBER(C86)),C86+30,"")</f>
        <v/>
      </c>
      <c r="P86" s="15"/>
      <c r="Q86" s="6" t="str">
        <f aca="true">IF(OR(N86&lt;&gt;"Yes",NOT(ISNUMBER(O86))),"",IF(ISNUMBER(P86),IF(P86&lt;=O86,"On time","Late"),IF(TODAY()&gt;O86,"OVERDUE","Due in "&amp;(O86-TODAY())&amp;" days")))</f>
        <v/>
      </c>
      <c r="R86" s="5"/>
      <c r="S86" s="15"/>
      <c r="T86" s="15"/>
      <c r="U86" s="6" t="str">
        <f aca="true">IF(OR(R86&lt;&gt;"Yes",NOT(ISNUMBER(S86))),"",IF(ISNUMBER(T86),IF(T86&lt;=S86,"On time","Late"),IF(TODAY()&gt;S86,"OVERDUE","Due in "&amp;(S86-TODAY())&amp;" days")))</f>
        <v/>
      </c>
      <c r="V86" s="5"/>
      <c r="W86" s="5"/>
      <c r="X86" s="5"/>
      <c r="Y86" s="5"/>
      <c r="Z86" s="5"/>
      <c r="AA86" s="5"/>
      <c r="AB86" s="5"/>
      <c r="AC86" s="15"/>
      <c r="AD86" s="5"/>
      <c r="AE86" s="15"/>
      <c r="AF86" s="14" t="str">
        <f aca="true">IF(ISNUMBER(C86),IF(ISNUMBER(AE86),AE86-C86,TODAY()-C86),"")</f>
        <v/>
      </c>
      <c r="AG86" s="5"/>
    </row>
    <row r="87" customFormat="false" ht="15" hidden="false" customHeight="false" outlineLevel="0" collapsed="false">
      <c r="A87" s="5"/>
      <c r="B87" s="15"/>
      <c r="C87" s="15"/>
      <c r="D87" s="5"/>
      <c r="E87" s="5"/>
      <c r="F87" s="5"/>
      <c r="G87" s="5"/>
      <c r="H87" s="5"/>
      <c r="I87" s="5"/>
      <c r="J87" s="16"/>
      <c r="K87" s="17"/>
      <c r="L87" s="5"/>
      <c r="M87" s="5"/>
      <c r="N87" s="5"/>
      <c r="O87" s="13" t="str">
        <f aca="false">IF(AND(N87="Yes",ISNUMBER(C87)),C87+30,"")</f>
        <v/>
      </c>
      <c r="P87" s="15"/>
      <c r="Q87" s="6" t="str">
        <f aca="true">IF(OR(N87&lt;&gt;"Yes",NOT(ISNUMBER(O87))),"",IF(ISNUMBER(P87),IF(P87&lt;=O87,"On time","Late"),IF(TODAY()&gt;O87,"OVERDUE","Due in "&amp;(O87-TODAY())&amp;" days")))</f>
        <v/>
      </c>
      <c r="R87" s="5"/>
      <c r="S87" s="15"/>
      <c r="T87" s="15"/>
      <c r="U87" s="6" t="str">
        <f aca="true">IF(OR(R87&lt;&gt;"Yes",NOT(ISNUMBER(S87))),"",IF(ISNUMBER(T87),IF(T87&lt;=S87,"On time","Late"),IF(TODAY()&gt;S87,"OVERDUE","Due in "&amp;(S87-TODAY())&amp;" days")))</f>
        <v/>
      </c>
      <c r="V87" s="5"/>
      <c r="W87" s="5"/>
      <c r="X87" s="5"/>
      <c r="Y87" s="5"/>
      <c r="Z87" s="5"/>
      <c r="AA87" s="5"/>
      <c r="AB87" s="5"/>
      <c r="AC87" s="15"/>
      <c r="AD87" s="5"/>
      <c r="AE87" s="15"/>
      <c r="AF87" s="14" t="str">
        <f aca="true">IF(ISNUMBER(C87),IF(ISNUMBER(AE87),AE87-C87,TODAY()-C87),"")</f>
        <v/>
      </c>
      <c r="AG87" s="5"/>
    </row>
    <row r="88" customFormat="false" ht="15" hidden="false" customHeight="false" outlineLevel="0" collapsed="false">
      <c r="A88" s="5"/>
      <c r="B88" s="15"/>
      <c r="C88" s="15"/>
      <c r="D88" s="5"/>
      <c r="E88" s="5"/>
      <c r="F88" s="5"/>
      <c r="G88" s="5"/>
      <c r="H88" s="5"/>
      <c r="I88" s="5"/>
      <c r="J88" s="16"/>
      <c r="K88" s="17"/>
      <c r="L88" s="5"/>
      <c r="M88" s="5"/>
      <c r="N88" s="5"/>
      <c r="O88" s="13" t="str">
        <f aca="false">IF(AND(N88="Yes",ISNUMBER(C88)),C88+30,"")</f>
        <v/>
      </c>
      <c r="P88" s="15"/>
      <c r="Q88" s="6" t="str">
        <f aca="true">IF(OR(N88&lt;&gt;"Yes",NOT(ISNUMBER(O88))),"",IF(ISNUMBER(P88),IF(P88&lt;=O88,"On time","Late"),IF(TODAY()&gt;O88,"OVERDUE","Due in "&amp;(O88-TODAY())&amp;" days")))</f>
        <v/>
      </c>
      <c r="R88" s="5"/>
      <c r="S88" s="15"/>
      <c r="T88" s="15"/>
      <c r="U88" s="6" t="str">
        <f aca="true">IF(OR(R88&lt;&gt;"Yes",NOT(ISNUMBER(S88))),"",IF(ISNUMBER(T88),IF(T88&lt;=S88,"On time","Late"),IF(TODAY()&gt;S88,"OVERDUE","Due in "&amp;(S88-TODAY())&amp;" days")))</f>
        <v/>
      </c>
      <c r="V88" s="5"/>
      <c r="W88" s="5"/>
      <c r="X88" s="5"/>
      <c r="Y88" s="5"/>
      <c r="Z88" s="5"/>
      <c r="AA88" s="5"/>
      <c r="AB88" s="5"/>
      <c r="AC88" s="15"/>
      <c r="AD88" s="5"/>
      <c r="AE88" s="15"/>
      <c r="AF88" s="14" t="str">
        <f aca="true">IF(ISNUMBER(C88),IF(ISNUMBER(AE88),AE88-C88,TODAY()-C88),"")</f>
        <v/>
      </c>
      <c r="AG88" s="5"/>
    </row>
    <row r="89" customFormat="false" ht="15" hidden="false" customHeight="false" outlineLevel="0" collapsed="false">
      <c r="A89" s="5"/>
      <c r="B89" s="15"/>
      <c r="C89" s="15"/>
      <c r="D89" s="5"/>
      <c r="E89" s="5"/>
      <c r="F89" s="5"/>
      <c r="G89" s="5"/>
      <c r="H89" s="5"/>
      <c r="I89" s="5"/>
      <c r="J89" s="16"/>
      <c r="K89" s="17"/>
      <c r="L89" s="5"/>
      <c r="M89" s="5"/>
      <c r="N89" s="5"/>
      <c r="O89" s="13" t="str">
        <f aca="false">IF(AND(N89="Yes",ISNUMBER(C89)),C89+30,"")</f>
        <v/>
      </c>
      <c r="P89" s="15"/>
      <c r="Q89" s="6" t="str">
        <f aca="true">IF(OR(N89&lt;&gt;"Yes",NOT(ISNUMBER(O89))),"",IF(ISNUMBER(P89),IF(P89&lt;=O89,"On time","Late"),IF(TODAY()&gt;O89,"OVERDUE","Due in "&amp;(O89-TODAY())&amp;" days")))</f>
        <v/>
      </c>
      <c r="R89" s="5"/>
      <c r="S89" s="15"/>
      <c r="T89" s="15"/>
      <c r="U89" s="6" t="str">
        <f aca="true">IF(OR(R89&lt;&gt;"Yes",NOT(ISNUMBER(S89))),"",IF(ISNUMBER(T89),IF(T89&lt;=S89,"On time","Late"),IF(TODAY()&gt;S89,"OVERDUE","Due in "&amp;(S89-TODAY())&amp;" days")))</f>
        <v/>
      </c>
      <c r="V89" s="5"/>
      <c r="W89" s="5"/>
      <c r="X89" s="5"/>
      <c r="Y89" s="5"/>
      <c r="Z89" s="5"/>
      <c r="AA89" s="5"/>
      <c r="AB89" s="5"/>
      <c r="AC89" s="15"/>
      <c r="AD89" s="5"/>
      <c r="AE89" s="15"/>
      <c r="AF89" s="14" t="str">
        <f aca="true">IF(ISNUMBER(C89),IF(ISNUMBER(AE89),AE89-C89,TODAY()-C89),"")</f>
        <v/>
      </c>
      <c r="AG89" s="5"/>
    </row>
    <row r="90" customFormat="false" ht="15" hidden="false" customHeight="false" outlineLevel="0" collapsed="false">
      <c r="A90" s="5"/>
      <c r="B90" s="15"/>
      <c r="C90" s="15"/>
      <c r="D90" s="5"/>
      <c r="E90" s="5"/>
      <c r="F90" s="5"/>
      <c r="G90" s="5"/>
      <c r="H90" s="5"/>
      <c r="I90" s="5"/>
      <c r="J90" s="16"/>
      <c r="K90" s="17"/>
      <c r="L90" s="5"/>
      <c r="M90" s="5"/>
      <c r="N90" s="5"/>
      <c r="O90" s="13" t="str">
        <f aca="false">IF(AND(N90="Yes",ISNUMBER(C90)),C90+30,"")</f>
        <v/>
      </c>
      <c r="P90" s="15"/>
      <c r="Q90" s="6" t="str">
        <f aca="true">IF(OR(N90&lt;&gt;"Yes",NOT(ISNUMBER(O90))),"",IF(ISNUMBER(P90),IF(P90&lt;=O90,"On time","Late"),IF(TODAY()&gt;O90,"OVERDUE","Due in "&amp;(O90-TODAY())&amp;" days")))</f>
        <v/>
      </c>
      <c r="R90" s="5"/>
      <c r="S90" s="15"/>
      <c r="T90" s="15"/>
      <c r="U90" s="6" t="str">
        <f aca="true">IF(OR(R90&lt;&gt;"Yes",NOT(ISNUMBER(S90))),"",IF(ISNUMBER(T90),IF(T90&lt;=S90,"On time","Late"),IF(TODAY()&gt;S90,"OVERDUE","Due in "&amp;(S90-TODAY())&amp;" days")))</f>
        <v/>
      </c>
      <c r="V90" s="5"/>
      <c r="W90" s="5"/>
      <c r="X90" s="5"/>
      <c r="Y90" s="5"/>
      <c r="Z90" s="5"/>
      <c r="AA90" s="5"/>
      <c r="AB90" s="5"/>
      <c r="AC90" s="15"/>
      <c r="AD90" s="5"/>
      <c r="AE90" s="15"/>
      <c r="AF90" s="14" t="str">
        <f aca="true">IF(ISNUMBER(C90),IF(ISNUMBER(AE90),AE90-C90,TODAY()-C90),"")</f>
        <v/>
      </c>
      <c r="AG90" s="5"/>
    </row>
    <row r="91" customFormat="false" ht="15" hidden="false" customHeight="false" outlineLevel="0" collapsed="false">
      <c r="A91" s="5"/>
      <c r="B91" s="15"/>
      <c r="C91" s="15"/>
      <c r="D91" s="5"/>
      <c r="E91" s="5"/>
      <c r="F91" s="5"/>
      <c r="G91" s="5"/>
      <c r="H91" s="5"/>
      <c r="I91" s="5"/>
      <c r="J91" s="16"/>
      <c r="K91" s="17"/>
      <c r="L91" s="5"/>
      <c r="M91" s="5"/>
      <c r="N91" s="5"/>
      <c r="O91" s="13" t="str">
        <f aca="false">IF(AND(N91="Yes",ISNUMBER(C91)),C91+30,"")</f>
        <v/>
      </c>
      <c r="P91" s="15"/>
      <c r="Q91" s="6" t="str">
        <f aca="true">IF(OR(N91&lt;&gt;"Yes",NOT(ISNUMBER(O91))),"",IF(ISNUMBER(P91),IF(P91&lt;=O91,"On time","Late"),IF(TODAY()&gt;O91,"OVERDUE","Due in "&amp;(O91-TODAY())&amp;" days")))</f>
        <v/>
      </c>
      <c r="R91" s="5"/>
      <c r="S91" s="15"/>
      <c r="T91" s="15"/>
      <c r="U91" s="6" t="str">
        <f aca="true">IF(OR(R91&lt;&gt;"Yes",NOT(ISNUMBER(S91))),"",IF(ISNUMBER(T91),IF(T91&lt;=S91,"On time","Late"),IF(TODAY()&gt;S91,"OVERDUE","Due in "&amp;(S91-TODAY())&amp;" days")))</f>
        <v/>
      </c>
      <c r="V91" s="5"/>
      <c r="W91" s="5"/>
      <c r="X91" s="5"/>
      <c r="Y91" s="5"/>
      <c r="Z91" s="5"/>
      <c r="AA91" s="5"/>
      <c r="AB91" s="5"/>
      <c r="AC91" s="15"/>
      <c r="AD91" s="5"/>
      <c r="AE91" s="15"/>
      <c r="AF91" s="14" t="str">
        <f aca="true">IF(ISNUMBER(C91),IF(ISNUMBER(AE91),AE91-C91,TODAY()-C91),"")</f>
        <v/>
      </c>
      <c r="AG91" s="5"/>
    </row>
    <row r="92" customFormat="false" ht="15" hidden="false" customHeight="false" outlineLevel="0" collapsed="false">
      <c r="A92" s="5"/>
      <c r="B92" s="15"/>
      <c r="C92" s="15"/>
      <c r="D92" s="5"/>
      <c r="E92" s="5"/>
      <c r="F92" s="5"/>
      <c r="G92" s="5"/>
      <c r="H92" s="5"/>
      <c r="I92" s="5"/>
      <c r="J92" s="16"/>
      <c r="K92" s="17"/>
      <c r="L92" s="5"/>
      <c r="M92" s="5"/>
      <c r="N92" s="5"/>
      <c r="O92" s="13" t="str">
        <f aca="false">IF(AND(N92="Yes",ISNUMBER(C92)),C92+30,"")</f>
        <v/>
      </c>
      <c r="P92" s="15"/>
      <c r="Q92" s="6" t="str">
        <f aca="true">IF(OR(N92&lt;&gt;"Yes",NOT(ISNUMBER(O92))),"",IF(ISNUMBER(P92),IF(P92&lt;=O92,"On time","Late"),IF(TODAY()&gt;O92,"OVERDUE","Due in "&amp;(O92-TODAY())&amp;" days")))</f>
        <v/>
      </c>
      <c r="R92" s="5"/>
      <c r="S92" s="15"/>
      <c r="T92" s="15"/>
      <c r="U92" s="6" t="str">
        <f aca="true">IF(OR(R92&lt;&gt;"Yes",NOT(ISNUMBER(S92))),"",IF(ISNUMBER(T92),IF(T92&lt;=S92,"On time","Late"),IF(TODAY()&gt;S92,"OVERDUE","Due in "&amp;(S92-TODAY())&amp;" days")))</f>
        <v/>
      </c>
      <c r="V92" s="5"/>
      <c r="W92" s="5"/>
      <c r="X92" s="5"/>
      <c r="Y92" s="5"/>
      <c r="Z92" s="5"/>
      <c r="AA92" s="5"/>
      <c r="AB92" s="5"/>
      <c r="AC92" s="15"/>
      <c r="AD92" s="5"/>
      <c r="AE92" s="15"/>
      <c r="AF92" s="14" t="str">
        <f aca="true">IF(ISNUMBER(C92),IF(ISNUMBER(AE92),AE92-C92,TODAY()-C92),"")</f>
        <v/>
      </c>
      <c r="AG92" s="5"/>
    </row>
    <row r="93" customFormat="false" ht="15" hidden="false" customHeight="false" outlineLevel="0" collapsed="false">
      <c r="A93" s="5"/>
      <c r="B93" s="15"/>
      <c r="C93" s="15"/>
      <c r="D93" s="5"/>
      <c r="E93" s="5"/>
      <c r="F93" s="5"/>
      <c r="G93" s="5"/>
      <c r="H93" s="5"/>
      <c r="I93" s="5"/>
      <c r="J93" s="16"/>
      <c r="K93" s="17"/>
      <c r="L93" s="5"/>
      <c r="M93" s="5"/>
      <c r="N93" s="5"/>
      <c r="O93" s="13" t="str">
        <f aca="false">IF(AND(N93="Yes",ISNUMBER(C93)),C93+30,"")</f>
        <v/>
      </c>
      <c r="P93" s="15"/>
      <c r="Q93" s="6" t="str">
        <f aca="true">IF(OR(N93&lt;&gt;"Yes",NOT(ISNUMBER(O93))),"",IF(ISNUMBER(P93),IF(P93&lt;=O93,"On time","Late"),IF(TODAY()&gt;O93,"OVERDUE","Due in "&amp;(O93-TODAY())&amp;" days")))</f>
        <v/>
      </c>
      <c r="R93" s="5"/>
      <c r="S93" s="15"/>
      <c r="T93" s="15"/>
      <c r="U93" s="6" t="str">
        <f aca="true">IF(OR(R93&lt;&gt;"Yes",NOT(ISNUMBER(S93))),"",IF(ISNUMBER(T93),IF(T93&lt;=S93,"On time","Late"),IF(TODAY()&gt;S93,"OVERDUE","Due in "&amp;(S93-TODAY())&amp;" days")))</f>
        <v/>
      </c>
      <c r="V93" s="5"/>
      <c r="W93" s="5"/>
      <c r="X93" s="5"/>
      <c r="Y93" s="5"/>
      <c r="Z93" s="5"/>
      <c r="AA93" s="5"/>
      <c r="AB93" s="5"/>
      <c r="AC93" s="15"/>
      <c r="AD93" s="5"/>
      <c r="AE93" s="15"/>
      <c r="AF93" s="14" t="str">
        <f aca="true">IF(ISNUMBER(C93),IF(ISNUMBER(AE93),AE93-C93,TODAY()-C93),"")</f>
        <v/>
      </c>
      <c r="AG93" s="5"/>
    </row>
    <row r="94" customFormat="false" ht="15" hidden="false" customHeight="false" outlineLevel="0" collapsed="false">
      <c r="A94" s="5"/>
      <c r="B94" s="15"/>
      <c r="C94" s="15"/>
      <c r="D94" s="5"/>
      <c r="E94" s="5"/>
      <c r="F94" s="5"/>
      <c r="G94" s="5"/>
      <c r="H94" s="5"/>
      <c r="I94" s="5"/>
      <c r="J94" s="16"/>
      <c r="K94" s="17"/>
      <c r="L94" s="5"/>
      <c r="M94" s="5"/>
      <c r="N94" s="5"/>
      <c r="O94" s="13" t="str">
        <f aca="false">IF(AND(N94="Yes",ISNUMBER(C94)),C94+30,"")</f>
        <v/>
      </c>
      <c r="P94" s="15"/>
      <c r="Q94" s="6" t="str">
        <f aca="true">IF(OR(N94&lt;&gt;"Yes",NOT(ISNUMBER(O94))),"",IF(ISNUMBER(P94),IF(P94&lt;=O94,"On time","Late"),IF(TODAY()&gt;O94,"OVERDUE","Due in "&amp;(O94-TODAY())&amp;" days")))</f>
        <v/>
      </c>
      <c r="R94" s="5"/>
      <c r="S94" s="15"/>
      <c r="T94" s="15"/>
      <c r="U94" s="6" t="str">
        <f aca="true">IF(OR(R94&lt;&gt;"Yes",NOT(ISNUMBER(S94))),"",IF(ISNUMBER(T94),IF(T94&lt;=S94,"On time","Late"),IF(TODAY()&gt;S94,"OVERDUE","Due in "&amp;(S94-TODAY())&amp;" days")))</f>
        <v/>
      </c>
      <c r="V94" s="5"/>
      <c r="W94" s="5"/>
      <c r="X94" s="5"/>
      <c r="Y94" s="5"/>
      <c r="Z94" s="5"/>
      <c r="AA94" s="5"/>
      <c r="AB94" s="5"/>
      <c r="AC94" s="15"/>
      <c r="AD94" s="5"/>
      <c r="AE94" s="15"/>
      <c r="AF94" s="14" t="str">
        <f aca="true">IF(ISNUMBER(C94),IF(ISNUMBER(AE94),AE94-C94,TODAY()-C94),"")</f>
        <v/>
      </c>
      <c r="AG94" s="5"/>
    </row>
    <row r="95" customFormat="false" ht="15" hidden="false" customHeight="false" outlineLevel="0" collapsed="false">
      <c r="A95" s="5"/>
      <c r="B95" s="15"/>
      <c r="C95" s="15"/>
      <c r="D95" s="5"/>
      <c r="E95" s="5"/>
      <c r="F95" s="5"/>
      <c r="G95" s="5"/>
      <c r="H95" s="5"/>
      <c r="I95" s="5"/>
      <c r="J95" s="16"/>
      <c r="K95" s="17"/>
      <c r="L95" s="5"/>
      <c r="M95" s="5"/>
      <c r="N95" s="5"/>
      <c r="O95" s="13" t="str">
        <f aca="false">IF(AND(N95="Yes",ISNUMBER(C95)),C95+30,"")</f>
        <v/>
      </c>
      <c r="P95" s="15"/>
      <c r="Q95" s="6" t="str">
        <f aca="true">IF(OR(N95&lt;&gt;"Yes",NOT(ISNUMBER(O95))),"",IF(ISNUMBER(P95),IF(P95&lt;=O95,"On time","Late"),IF(TODAY()&gt;O95,"OVERDUE","Due in "&amp;(O95-TODAY())&amp;" days")))</f>
        <v/>
      </c>
      <c r="R95" s="5"/>
      <c r="S95" s="15"/>
      <c r="T95" s="15"/>
      <c r="U95" s="6" t="str">
        <f aca="true">IF(OR(R95&lt;&gt;"Yes",NOT(ISNUMBER(S95))),"",IF(ISNUMBER(T95),IF(T95&lt;=S95,"On time","Late"),IF(TODAY()&gt;S95,"OVERDUE","Due in "&amp;(S95-TODAY())&amp;" days")))</f>
        <v/>
      </c>
      <c r="V95" s="5"/>
      <c r="W95" s="5"/>
      <c r="X95" s="5"/>
      <c r="Y95" s="5"/>
      <c r="Z95" s="5"/>
      <c r="AA95" s="5"/>
      <c r="AB95" s="5"/>
      <c r="AC95" s="15"/>
      <c r="AD95" s="5"/>
      <c r="AE95" s="15"/>
      <c r="AF95" s="14" t="str">
        <f aca="true">IF(ISNUMBER(C95),IF(ISNUMBER(AE95),AE95-C95,TODAY()-C95),"")</f>
        <v/>
      </c>
      <c r="AG95" s="5"/>
    </row>
    <row r="96" customFormat="false" ht="15" hidden="false" customHeight="false" outlineLevel="0" collapsed="false">
      <c r="A96" s="5"/>
      <c r="B96" s="15"/>
      <c r="C96" s="15"/>
      <c r="D96" s="5"/>
      <c r="E96" s="5"/>
      <c r="F96" s="5"/>
      <c r="G96" s="5"/>
      <c r="H96" s="5"/>
      <c r="I96" s="5"/>
      <c r="J96" s="16"/>
      <c r="K96" s="17"/>
      <c r="L96" s="5"/>
      <c r="M96" s="5"/>
      <c r="N96" s="5"/>
      <c r="O96" s="13" t="str">
        <f aca="false">IF(AND(N96="Yes",ISNUMBER(C96)),C96+30,"")</f>
        <v/>
      </c>
      <c r="P96" s="15"/>
      <c r="Q96" s="6" t="str">
        <f aca="true">IF(OR(N96&lt;&gt;"Yes",NOT(ISNUMBER(O96))),"",IF(ISNUMBER(P96),IF(P96&lt;=O96,"On time","Late"),IF(TODAY()&gt;O96,"OVERDUE","Due in "&amp;(O96-TODAY())&amp;" days")))</f>
        <v/>
      </c>
      <c r="R96" s="5"/>
      <c r="S96" s="15"/>
      <c r="T96" s="15"/>
      <c r="U96" s="6" t="str">
        <f aca="true">IF(OR(R96&lt;&gt;"Yes",NOT(ISNUMBER(S96))),"",IF(ISNUMBER(T96),IF(T96&lt;=S96,"On time","Late"),IF(TODAY()&gt;S96,"OVERDUE","Due in "&amp;(S96-TODAY())&amp;" days")))</f>
        <v/>
      </c>
      <c r="V96" s="5"/>
      <c r="W96" s="5"/>
      <c r="X96" s="5"/>
      <c r="Y96" s="5"/>
      <c r="Z96" s="5"/>
      <c r="AA96" s="5"/>
      <c r="AB96" s="5"/>
      <c r="AC96" s="15"/>
      <c r="AD96" s="5"/>
      <c r="AE96" s="15"/>
      <c r="AF96" s="14" t="str">
        <f aca="true">IF(ISNUMBER(C96),IF(ISNUMBER(AE96),AE96-C96,TODAY()-C96),"")</f>
        <v/>
      </c>
      <c r="AG96" s="5"/>
    </row>
    <row r="97" customFormat="false" ht="15" hidden="false" customHeight="false" outlineLevel="0" collapsed="false">
      <c r="A97" s="5"/>
      <c r="B97" s="15"/>
      <c r="C97" s="15"/>
      <c r="D97" s="5"/>
      <c r="E97" s="5"/>
      <c r="F97" s="5"/>
      <c r="G97" s="5"/>
      <c r="H97" s="5"/>
      <c r="I97" s="5"/>
      <c r="J97" s="16"/>
      <c r="K97" s="17"/>
      <c r="L97" s="5"/>
      <c r="M97" s="5"/>
      <c r="N97" s="5"/>
      <c r="O97" s="13" t="str">
        <f aca="false">IF(AND(N97="Yes",ISNUMBER(C97)),C97+30,"")</f>
        <v/>
      </c>
      <c r="P97" s="15"/>
      <c r="Q97" s="6" t="str">
        <f aca="true">IF(OR(N97&lt;&gt;"Yes",NOT(ISNUMBER(O97))),"",IF(ISNUMBER(P97),IF(P97&lt;=O97,"On time","Late"),IF(TODAY()&gt;O97,"OVERDUE","Due in "&amp;(O97-TODAY())&amp;" days")))</f>
        <v/>
      </c>
      <c r="R97" s="5"/>
      <c r="S97" s="15"/>
      <c r="T97" s="15"/>
      <c r="U97" s="6" t="str">
        <f aca="true">IF(OR(R97&lt;&gt;"Yes",NOT(ISNUMBER(S97))),"",IF(ISNUMBER(T97),IF(T97&lt;=S97,"On time","Late"),IF(TODAY()&gt;S97,"OVERDUE","Due in "&amp;(S97-TODAY())&amp;" days")))</f>
        <v/>
      </c>
      <c r="V97" s="5"/>
      <c r="W97" s="5"/>
      <c r="X97" s="5"/>
      <c r="Y97" s="5"/>
      <c r="Z97" s="5"/>
      <c r="AA97" s="5"/>
      <c r="AB97" s="5"/>
      <c r="AC97" s="15"/>
      <c r="AD97" s="5"/>
      <c r="AE97" s="15"/>
      <c r="AF97" s="14" t="str">
        <f aca="true">IF(ISNUMBER(C97),IF(ISNUMBER(AE97),AE97-C97,TODAY()-C97),"")</f>
        <v/>
      </c>
      <c r="AG97" s="5"/>
    </row>
    <row r="98" customFormat="false" ht="15" hidden="false" customHeight="false" outlineLevel="0" collapsed="false">
      <c r="A98" s="5"/>
      <c r="B98" s="15"/>
      <c r="C98" s="15"/>
      <c r="D98" s="5"/>
      <c r="E98" s="5"/>
      <c r="F98" s="5"/>
      <c r="G98" s="5"/>
      <c r="H98" s="5"/>
      <c r="I98" s="5"/>
      <c r="J98" s="16"/>
      <c r="K98" s="17"/>
      <c r="L98" s="5"/>
      <c r="M98" s="5"/>
      <c r="N98" s="5"/>
      <c r="O98" s="13" t="str">
        <f aca="false">IF(AND(N98="Yes",ISNUMBER(C98)),C98+30,"")</f>
        <v/>
      </c>
      <c r="P98" s="15"/>
      <c r="Q98" s="6" t="str">
        <f aca="true">IF(OR(N98&lt;&gt;"Yes",NOT(ISNUMBER(O98))),"",IF(ISNUMBER(P98),IF(P98&lt;=O98,"On time","Late"),IF(TODAY()&gt;O98,"OVERDUE","Due in "&amp;(O98-TODAY())&amp;" days")))</f>
        <v/>
      </c>
      <c r="R98" s="5"/>
      <c r="S98" s="15"/>
      <c r="T98" s="15"/>
      <c r="U98" s="6" t="str">
        <f aca="true">IF(OR(R98&lt;&gt;"Yes",NOT(ISNUMBER(S98))),"",IF(ISNUMBER(T98),IF(T98&lt;=S98,"On time","Late"),IF(TODAY()&gt;S98,"OVERDUE","Due in "&amp;(S98-TODAY())&amp;" days")))</f>
        <v/>
      </c>
      <c r="V98" s="5"/>
      <c r="W98" s="5"/>
      <c r="X98" s="5"/>
      <c r="Y98" s="5"/>
      <c r="Z98" s="5"/>
      <c r="AA98" s="5"/>
      <c r="AB98" s="5"/>
      <c r="AC98" s="15"/>
      <c r="AD98" s="5"/>
      <c r="AE98" s="15"/>
      <c r="AF98" s="14" t="str">
        <f aca="true">IF(ISNUMBER(C98),IF(ISNUMBER(AE98),AE98-C98,TODAY()-C98),"")</f>
        <v/>
      </c>
      <c r="AG98" s="5"/>
    </row>
    <row r="99" customFormat="false" ht="15" hidden="false" customHeight="false" outlineLevel="0" collapsed="false">
      <c r="A99" s="5"/>
      <c r="B99" s="15"/>
      <c r="C99" s="15"/>
      <c r="D99" s="5"/>
      <c r="E99" s="5"/>
      <c r="F99" s="5"/>
      <c r="G99" s="5"/>
      <c r="H99" s="5"/>
      <c r="I99" s="5"/>
      <c r="J99" s="16"/>
      <c r="K99" s="17"/>
      <c r="L99" s="5"/>
      <c r="M99" s="5"/>
      <c r="N99" s="5"/>
      <c r="O99" s="13" t="str">
        <f aca="false">IF(AND(N99="Yes",ISNUMBER(C99)),C99+30,"")</f>
        <v/>
      </c>
      <c r="P99" s="15"/>
      <c r="Q99" s="6" t="str">
        <f aca="true">IF(OR(N99&lt;&gt;"Yes",NOT(ISNUMBER(O99))),"",IF(ISNUMBER(P99),IF(P99&lt;=O99,"On time","Late"),IF(TODAY()&gt;O99,"OVERDUE","Due in "&amp;(O99-TODAY())&amp;" days")))</f>
        <v/>
      </c>
      <c r="R99" s="5"/>
      <c r="S99" s="15"/>
      <c r="T99" s="15"/>
      <c r="U99" s="6" t="str">
        <f aca="true">IF(OR(R99&lt;&gt;"Yes",NOT(ISNUMBER(S99))),"",IF(ISNUMBER(T99),IF(T99&lt;=S99,"On time","Late"),IF(TODAY()&gt;S99,"OVERDUE","Due in "&amp;(S99-TODAY())&amp;" days")))</f>
        <v/>
      </c>
      <c r="V99" s="5"/>
      <c r="W99" s="5"/>
      <c r="X99" s="5"/>
      <c r="Y99" s="5"/>
      <c r="Z99" s="5"/>
      <c r="AA99" s="5"/>
      <c r="AB99" s="5"/>
      <c r="AC99" s="15"/>
      <c r="AD99" s="5"/>
      <c r="AE99" s="15"/>
      <c r="AF99" s="14" t="str">
        <f aca="true">IF(ISNUMBER(C99),IF(ISNUMBER(AE99),AE99-C99,TODAY()-C99),"")</f>
        <v/>
      </c>
      <c r="AG99" s="5"/>
    </row>
    <row r="100" customFormat="false" ht="15" hidden="false" customHeight="false" outlineLevel="0" collapsed="false">
      <c r="A100" s="5"/>
      <c r="B100" s="15"/>
      <c r="C100" s="15"/>
      <c r="D100" s="5"/>
      <c r="E100" s="5"/>
      <c r="F100" s="5"/>
      <c r="G100" s="5"/>
      <c r="H100" s="5"/>
      <c r="I100" s="5"/>
      <c r="J100" s="16"/>
      <c r="K100" s="17"/>
      <c r="L100" s="5"/>
      <c r="M100" s="5"/>
      <c r="N100" s="5"/>
      <c r="O100" s="13" t="str">
        <f aca="false">IF(AND(N100="Yes",ISNUMBER(C100)),C100+30,"")</f>
        <v/>
      </c>
      <c r="P100" s="15"/>
      <c r="Q100" s="6" t="str">
        <f aca="true">IF(OR(N100&lt;&gt;"Yes",NOT(ISNUMBER(O100))),"",IF(ISNUMBER(P100),IF(P100&lt;=O100,"On time","Late"),IF(TODAY()&gt;O100,"OVERDUE","Due in "&amp;(O100-TODAY())&amp;" days")))</f>
        <v/>
      </c>
      <c r="R100" s="5"/>
      <c r="S100" s="15"/>
      <c r="T100" s="15"/>
      <c r="U100" s="6" t="str">
        <f aca="true">IF(OR(R100&lt;&gt;"Yes",NOT(ISNUMBER(S100))),"",IF(ISNUMBER(T100),IF(T100&lt;=S100,"On time","Late"),IF(TODAY()&gt;S100,"OVERDUE","Due in "&amp;(S100-TODAY())&amp;" days")))</f>
        <v/>
      </c>
      <c r="V100" s="5"/>
      <c r="W100" s="5"/>
      <c r="X100" s="5"/>
      <c r="Y100" s="5"/>
      <c r="Z100" s="5"/>
      <c r="AA100" s="5"/>
      <c r="AB100" s="5"/>
      <c r="AC100" s="15"/>
      <c r="AD100" s="5"/>
      <c r="AE100" s="15"/>
      <c r="AF100" s="14" t="str">
        <f aca="true">IF(ISNUMBER(C100),IF(ISNUMBER(AE100),AE100-C100,TODAY()-C100),"")</f>
        <v/>
      </c>
      <c r="AG100" s="5"/>
    </row>
    <row r="101" customFormat="false" ht="15" hidden="false" customHeight="false" outlineLevel="0" collapsed="false">
      <c r="A101" s="5"/>
      <c r="B101" s="15"/>
      <c r="C101" s="15"/>
      <c r="D101" s="5"/>
      <c r="E101" s="5"/>
      <c r="F101" s="5"/>
      <c r="G101" s="5"/>
      <c r="H101" s="5"/>
      <c r="I101" s="5"/>
      <c r="J101" s="16"/>
      <c r="K101" s="17"/>
      <c r="L101" s="5"/>
      <c r="M101" s="5"/>
      <c r="N101" s="5"/>
      <c r="O101" s="13" t="str">
        <f aca="false">IF(AND(N101="Yes",ISNUMBER(C101)),C101+30,"")</f>
        <v/>
      </c>
      <c r="P101" s="15"/>
      <c r="Q101" s="6" t="str">
        <f aca="true">IF(OR(N101&lt;&gt;"Yes",NOT(ISNUMBER(O101))),"",IF(ISNUMBER(P101),IF(P101&lt;=O101,"On time","Late"),IF(TODAY()&gt;O101,"OVERDUE","Due in "&amp;(O101-TODAY())&amp;" days")))</f>
        <v/>
      </c>
      <c r="R101" s="5"/>
      <c r="S101" s="15"/>
      <c r="T101" s="15"/>
      <c r="U101" s="6" t="str">
        <f aca="true">IF(OR(R101&lt;&gt;"Yes",NOT(ISNUMBER(S101))),"",IF(ISNUMBER(T101),IF(T101&lt;=S101,"On time","Late"),IF(TODAY()&gt;S101,"OVERDUE","Due in "&amp;(S101-TODAY())&amp;" days")))</f>
        <v/>
      </c>
      <c r="V101" s="5"/>
      <c r="W101" s="5"/>
      <c r="X101" s="5"/>
      <c r="Y101" s="5"/>
      <c r="Z101" s="5"/>
      <c r="AA101" s="5"/>
      <c r="AB101" s="5"/>
      <c r="AC101" s="15"/>
      <c r="AD101" s="5"/>
      <c r="AE101" s="15"/>
      <c r="AF101" s="14" t="str">
        <f aca="true">IF(ISNUMBER(C101),IF(ISNUMBER(AE101),AE101-C101,TODAY()-C101),"")</f>
        <v/>
      </c>
      <c r="AG101" s="5"/>
    </row>
    <row r="102" customFormat="false" ht="15" hidden="false" customHeight="false" outlineLevel="0" collapsed="false">
      <c r="A102" s="5"/>
      <c r="B102" s="15"/>
      <c r="C102" s="15"/>
      <c r="D102" s="5"/>
      <c r="E102" s="5"/>
      <c r="F102" s="5"/>
      <c r="G102" s="5"/>
      <c r="H102" s="5"/>
      <c r="I102" s="5"/>
      <c r="J102" s="16"/>
      <c r="K102" s="17"/>
      <c r="L102" s="5"/>
      <c r="M102" s="5"/>
      <c r="N102" s="5"/>
      <c r="O102" s="13" t="str">
        <f aca="false">IF(AND(N102="Yes",ISNUMBER(C102)),C102+30,"")</f>
        <v/>
      </c>
      <c r="P102" s="15"/>
      <c r="Q102" s="6" t="str">
        <f aca="true">IF(OR(N102&lt;&gt;"Yes",NOT(ISNUMBER(O102))),"",IF(ISNUMBER(P102),IF(P102&lt;=O102,"On time","Late"),IF(TODAY()&gt;O102,"OVERDUE","Due in "&amp;(O102-TODAY())&amp;" days")))</f>
        <v/>
      </c>
      <c r="R102" s="5"/>
      <c r="S102" s="15"/>
      <c r="T102" s="15"/>
      <c r="U102" s="6" t="str">
        <f aca="true">IF(OR(R102&lt;&gt;"Yes",NOT(ISNUMBER(S102))),"",IF(ISNUMBER(T102),IF(T102&lt;=S102,"On time","Late"),IF(TODAY()&gt;S102,"OVERDUE","Due in "&amp;(S102-TODAY())&amp;" days")))</f>
        <v/>
      </c>
      <c r="V102" s="5"/>
      <c r="W102" s="5"/>
      <c r="X102" s="5"/>
      <c r="Y102" s="5"/>
      <c r="Z102" s="5"/>
      <c r="AA102" s="5"/>
      <c r="AB102" s="5"/>
      <c r="AC102" s="15"/>
      <c r="AD102" s="5"/>
      <c r="AE102" s="15"/>
      <c r="AF102" s="14" t="str">
        <f aca="true">IF(ISNUMBER(C102),IF(ISNUMBER(AE102),AE102-C102,TODAY()-C102),"")</f>
        <v/>
      </c>
      <c r="AG102" s="5"/>
    </row>
    <row r="103" customFormat="false" ht="15" hidden="false" customHeight="false" outlineLevel="0" collapsed="false">
      <c r="A103" s="5"/>
      <c r="B103" s="15"/>
      <c r="C103" s="15"/>
      <c r="D103" s="5"/>
      <c r="E103" s="5"/>
      <c r="F103" s="5"/>
      <c r="G103" s="5"/>
      <c r="H103" s="5"/>
      <c r="I103" s="5"/>
      <c r="J103" s="16"/>
      <c r="K103" s="17"/>
      <c r="L103" s="5"/>
      <c r="M103" s="5"/>
      <c r="N103" s="5"/>
      <c r="O103" s="13" t="str">
        <f aca="false">IF(AND(N103="Yes",ISNUMBER(C103)),C103+30,"")</f>
        <v/>
      </c>
      <c r="P103" s="15"/>
      <c r="Q103" s="6" t="str">
        <f aca="true">IF(OR(N103&lt;&gt;"Yes",NOT(ISNUMBER(O103))),"",IF(ISNUMBER(P103),IF(P103&lt;=O103,"On time","Late"),IF(TODAY()&gt;O103,"OVERDUE","Due in "&amp;(O103-TODAY())&amp;" days")))</f>
        <v/>
      </c>
      <c r="R103" s="5"/>
      <c r="S103" s="15"/>
      <c r="T103" s="15"/>
      <c r="U103" s="6" t="str">
        <f aca="true">IF(OR(R103&lt;&gt;"Yes",NOT(ISNUMBER(S103))),"",IF(ISNUMBER(T103),IF(T103&lt;=S103,"On time","Late"),IF(TODAY()&gt;S103,"OVERDUE","Due in "&amp;(S103-TODAY())&amp;" days")))</f>
        <v/>
      </c>
      <c r="V103" s="5"/>
      <c r="W103" s="5"/>
      <c r="X103" s="5"/>
      <c r="Y103" s="5"/>
      <c r="Z103" s="5"/>
      <c r="AA103" s="5"/>
      <c r="AB103" s="5"/>
      <c r="AC103" s="15"/>
      <c r="AD103" s="5"/>
      <c r="AE103" s="15"/>
      <c r="AF103" s="14" t="str">
        <f aca="true">IF(ISNUMBER(C103),IF(ISNUMBER(AE103),AE103-C103,TODAY()-C103),"")</f>
        <v/>
      </c>
      <c r="AG103" s="5"/>
    </row>
    <row r="104" customFormat="false" ht="15" hidden="false" customHeight="false" outlineLevel="0" collapsed="false">
      <c r="A104" s="5"/>
      <c r="B104" s="15"/>
      <c r="C104" s="15"/>
      <c r="D104" s="5"/>
      <c r="E104" s="5"/>
      <c r="F104" s="5"/>
      <c r="G104" s="5"/>
      <c r="H104" s="5"/>
      <c r="I104" s="5"/>
      <c r="J104" s="16"/>
      <c r="K104" s="17"/>
      <c r="L104" s="5"/>
      <c r="M104" s="5"/>
      <c r="N104" s="5"/>
      <c r="O104" s="13" t="str">
        <f aca="false">IF(AND(N104="Yes",ISNUMBER(C104)),C104+30,"")</f>
        <v/>
      </c>
      <c r="P104" s="15"/>
      <c r="Q104" s="6" t="str">
        <f aca="true">IF(OR(N104&lt;&gt;"Yes",NOT(ISNUMBER(O104))),"",IF(ISNUMBER(P104),IF(P104&lt;=O104,"On time","Late"),IF(TODAY()&gt;O104,"OVERDUE","Due in "&amp;(O104-TODAY())&amp;" days")))</f>
        <v/>
      </c>
      <c r="R104" s="5"/>
      <c r="S104" s="15"/>
      <c r="T104" s="15"/>
      <c r="U104" s="6" t="str">
        <f aca="true">IF(OR(R104&lt;&gt;"Yes",NOT(ISNUMBER(S104))),"",IF(ISNUMBER(T104),IF(T104&lt;=S104,"On time","Late"),IF(TODAY()&gt;S104,"OVERDUE","Due in "&amp;(S104-TODAY())&amp;" days")))</f>
        <v/>
      </c>
      <c r="V104" s="5"/>
      <c r="W104" s="5"/>
      <c r="X104" s="5"/>
      <c r="Y104" s="5"/>
      <c r="Z104" s="5"/>
      <c r="AA104" s="5"/>
      <c r="AB104" s="5"/>
      <c r="AC104" s="15"/>
      <c r="AD104" s="5"/>
      <c r="AE104" s="15"/>
      <c r="AF104" s="14" t="str">
        <f aca="true">IF(ISNUMBER(C104),IF(ISNUMBER(AE104),AE104-C104,TODAY()-C104),"")</f>
        <v/>
      </c>
      <c r="AG104" s="5"/>
    </row>
  </sheetData>
  <autoFilter ref="A4:AG104"/>
  <conditionalFormatting sqref="Q5:Q104">
    <cfRule type="expression" priority="2" aboveAverage="0" equalAverage="0" bottom="0" percent="0" rank="0" text="" dxfId="7">
      <formula>OR(Q5="OVERDUE",Q5="Late")</formula>
    </cfRule>
    <cfRule type="expression" priority="3" aboveAverage="0" equalAverage="0" bottom="0" percent="0" rank="0" text="" dxfId="8">
      <formula>Q5="On time"</formula>
    </cfRule>
    <cfRule type="expression" priority="4" aboveAverage="0" equalAverage="0" bottom="0" percent="0" rank="0" text="" dxfId="9">
      <formula>LEFT(Q5,6)="Due in"</formula>
    </cfRule>
  </conditionalFormatting>
  <conditionalFormatting sqref="U5:U104">
    <cfRule type="expression" priority="5" aboveAverage="0" equalAverage="0" bottom="0" percent="0" rank="0" text="" dxfId="7">
      <formula>OR(U5="OVERDUE",U5="Late")</formula>
    </cfRule>
    <cfRule type="expression" priority="6" aboveAverage="0" equalAverage="0" bottom="0" percent="0" rank="0" text="" dxfId="8">
      <formula>U5="On time"</formula>
    </cfRule>
    <cfRule type="expression" priority="7" aboveAverage="0" equalAverage="0" bottom="0" percent="0" rank="0" text="" dxfId="9">
      <formula>LEFT(U5,6)="Due in"</formula>
    </cfRule>
  </conditionalFormatting>
  <dataValidations count="10">
    <dataValidation allowBlank="true" error="Please choose a value from the drop-down list." errorStyle="stop" operator="between" showDropDown="false" showErrorMessage="true" showInputMessage="false" sqref="G5:G104" type="list">
      <formula1>Lists!$A$5:$A$17</formula1>
      <formula2>0</formula2>
    </dataValidation>
    <dataValidation allowBlank="true" error="Please choose a value from the drop-down list." errorStyle="stop" operator="between" showDropDown="false" showErrorMessage="true" showInputMessage="false" sqref="H5:H104" type="list">
      <formula1>Lists!$B$5:$B$13</formula1>
      <formula2>0</formula2>
    </dataValidation>
    <dataValidation allowBlank="true" error="Please choose a value from the drop-down list." errorStyle="stop" operator="between" showDropDown="false" showErrorMessage="true" showInputMessage="false" sqref="L5:L104" type="list">
      <formula1>Lists!$C$5:$C$8</formula1>
      <formula2>0</formula2>
    </dataValidation>
    <dataValidation allowBlank="true" error="Please choose a value from the drop-down list." errorStyle="stop" operator="between" showDropDown="false" showErrorMessage="true" showInputMessage="false" sqref="N5:N104" type="list">
      <formula1>Lists!$C$5:$C$8</formula1>
      <formula2>0</formula2>
    </dataValidation>
    <dataValidation allowBlank="true" error="Please choose a value from the drop-down list." errorStyle="stop" operator="between" showDropDown="false" showErrorMessage="true" showInputMessage="false" sqref="R5:R104" type="list">
      <formula1>Lists!$C$5:$C$8</formula1>
      <formula2>0</formula2>
    </dataValidation>
    <dataValidation allowBlank="true" error="Please choose a value from the drop-down list." errorStyle="stop" operator="between" showDropDown="false" showErrorMessage="true" showInputMessage="false" sqref="V5:V104" type="list">
      <formula1>Lists!$C$5:$C$8</formula1>
      <formula2>0</formula2>
    </dataValidation>
    <dataValidation allowBlank="true" error="Please choose a value from the drop-down list." errorStyle="stop" operator="between" showDropDown="false" showErrorMessage="true" showInputMessage="false" sqref="X5:X104" type="list">
      <formula1>Lists!$C$5:$C$8</formula1>
      <formula2>0</formula2>
    </dataValidation>
    <dataValidation allowBlank="true" error="Please choose a value from the drop-down list." errorStyle="stop" operator="between" showDropDown="false" showErrorMessage="true" showInputMessage="false" sqref="Y5:Y104" type="list">
      <formula1>Lists!$D$5:$D$9</formula1>
      <formula2>0</formula2>
    </dataValidation>
    <dataValidation allowBlank="true" error="Please choose a value from the drop-down list." errorStyle="stop" operator="between" showDropDown="false" showErrorMessage="true" showInputMessage="false" sqref="AD5:AD104" type="list">
      <formula1>Lists!$E$5:$E$8</formula1>
      <formula2>0</formula2>
    </dataValidation>
    <dataValidation allowBlank="true" error="Enter a date (DD/MM/YYYY)." errorStyle="stop" operator="greaterThan" showDropDown="false" showErrorMessage="true" showInputMessage="false" sqref="B5:C104 P5:P104 S5:T104 AC5:AC104 AE5:AE104" type="date">
      <formula1>36526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12"/>
  </cols>
  <sheetData>
    <row r="1" customFormat="false" ht="25.5" hidden="false" customHeight="true" outlineLevel="0" collapsed="false">
      <c r="A1" s="1" t="s">
        <v>102</v>
      </c>
    </row>
    <row r="2" customFormat="false" ht="15" hidden="false" customHeight="false" outlineLevel="0" collapsed="false">
      <c r="A2" s="2" t="s">
        <v>103</v>
      </c>
    </row>
    <row r="4" customFormat="false" ht="31.5" hidden="false" customHeight="true" outlineLevel="0" collapsed="false">
      <c r="A4" s="9" t="s">
        <v>104</v>
      </c>
      <c r="B4" s="9" t="s">
        <v>105</v>
      </c>
    </row>
    <row r="5" customFormat="false" ht="15" hidden="false" customHeight="false" outlineLevel="0" collapsed="false">
      <c r="A5" s="18" t="s">
        <v>106</v>
      </c>
      <c r="B5" s="19" t="n">
        <f aca="false">COUNTA('Breach register'!$A$5:$A$104)</f>
        <v>1</v>
      </c>
    </row>
    <row r="6" customFormat="false" ht="15" hidden="false" customHeight="false" outlineLevel="0" collapsed="false">
      <c r="A6" s="18" t="s">
        <v>107</v>
      </c>
      <c r="B6" s="19" t="n">
        <f aca="false">COUNTA('Breach register'!$A$5:$A$104)-COUNTIF('Breach register'!$AD$5:$AD$104,"Closed")</f>
        <v>1</v>
      </c>
    </row>
    <row r="7" customFormat="false" ht="15" hidden="false" customHeight="false" outlineLevel="0" collapsed="false">
      <c r="A7" s="18" t="s">
        <v>108</v>
      </c>
      <c r="B7" s="19" t="n">
        <f aca="false">COUNTIF('Breach register'!$L$5:$L$104,"Yes")</f>
        <v>1</v>
      </c>
    </row>
    <row r="8" customFormat="false" ht="15" hidden="false" customHeight="false" outlineLevel="0" collapsed="false">
      <c r="A8" s="18" t="s">
        <v>109</v>
      </c>
      <c r="B8" s="19" t="n">
        <f aca="false">COUNTIF('Breach register'!$L$5:$L$104,"Under assessment")</f>
        <v>0</v>
      </c>
    </row>
    <row r="9" customFormat="false" ht="15" hidden="false" customHeight="false" outlineLevel="0" collapsed="false">
      <c r="A9" s="18" t="s">
        <v>110</v>
      </c>
      <c r="B9" s="19" t="n">
        <f aca="false">COUNTIF('Breach register'!$N$5:$N$104,"Yes")</f>
        <v>1</v>
      </c>
    </row>
    <row r="10" customFormat="false" ht="15" hidden="false" customHeight="false" outlineLevel="0" collapsed="false">
      <c r="A10" s="18" t="s">
        <v>111</v>
      </c>
      <c r="B10" s="19" t="n">
        <f aca="false">COUNTIF('Breach register'!$Q$5:$Q$104,"OVERDUE")</f>
        <v>0</v>
      </c>
    </row>
    <row r="11" customFormat="false" ht="15" hidden="false" customHeight="false" outlineLevel="0" collapsed="false">
      <c r="A11" s="18" t="s">
        <v>112</v>
      </c>
      <c r="B11" s="19" t="n">
        <f aca="false">COUNTIF('Breach register'!$Q$5:$Q$104,"Late")</f>
        <v>0</v>
      </c>
    </row>
    <row r="12" customFormat="false" ht="15" hidden="false" customHeight="false" outlineLevel="0" collapsed="false">
      <c r="A12" s="18" t="s">
        <v>113</v>
      </c>
      <c r="B12" s="19" t="n">
        <f aca="false">COUNTIF('Breach register'!$U$5:$U$104,"OVERDUE")</f>
        <v>0</v>
      </c>
    </row>
    <row r="13" customFormat="false" ht="15" hidden="false" customHeight="false" outlineLevel="0" collapsed="false">
      <c r="A13" s="18" t="s">
        <v>114</v>
      </c>
      <c r="B13" s="19" t="n">
        <f aca="false">COUNTIF('Breach register'!$U$5:$U$104,"Late")</f>
        <v>0</v>
      </c>
    </row>
    <row r="14" customFormat="false" ht="15" hidden="false" customHeight="false" outlineLevel="0" collapsed="false">
      <c r="A14" s="18" t="s">
        <v>115</v>
      </c>
      <c r="B14" s="19" t="n">
        <f aca="false">COUNTIF('Breach register'!$X$5:$X$104,"Yes")</f>
        <v>1</v>
      </c>
    </row>
    <row r="15" customFormat="false" ht="15" hidden="false" customHeight="false" outlineLevel="0" collapsed="false">
      <c r="A15" s="18" t="s">
        <v>116</v>
      </c>
      <c r="B15" s="19" t="n">
        <f aca="false">SUM('Breach register'!$J$5:$J$104)</f>
        <v>3000</v>
      </c>
    </row>
    <row r="16" customFormat="false" ht="15" hidden="false" customHeight="false" outlineLevel="0" collapsed="false">
      <c r="A16" s="18" t="s">
        <v>117</v>
      </c>
      <c r="B16" s="20" t="n">
        <f aca="false">SUM('Breach register'!$K$5:$K$104)</f>
        <v>450000</v>
      </c>
    </row>
    <row r="17" customFormat="false" ht="15" hidden="false" customHeight="false" outlineLevel="0" collapsed="false">
      <c r="A17" s="18" t="s">
        <v>118</v>
      </c>
      <c r="B17" s="19" t="n">
        <f aca="false">IFERROR(AVERAGEIFS('Breach register'!$AF$5:$AF$104,'Breach register'!$AD$5:$AD$104,"&lt;&gt;Closed"),0)</f>
        <v>26</v>
      </c>
    </row>
    <row r="20" customFormat="false" ht="24" hidden="false" customHeight="true" outlineLevel="0" collapsed="false">
      <c r="A20" s="9" t="s">
        <v>119</v>
      </c>
      <c r="B20" s="9" t="s">
        <v>105</v>
      </c>
    </row>
    <row r="21" customFormat="false" ht="15" hidden="false" customHeight="false" outlineLevel="0" collapsed="false">
      <c r="A21" s="18" t="str">
        <f aca="false">Lists!$A$5</f>
        <v>Corporations Act</v>
      </c>
      <c r="B21" s="21" t="n">
        <f aca="false">COUNTIF('Breach register'!$G$5:$G$104,A21)</f>
        <v>1</v>
      </c>
    </row>
    <row r="22" customFormat="false" ht="15" hidden="false" customHeight="false" outlineLevel="0" collapsed="false">
      <c r="A22" s="18" t="str">
        <f aca="false">Lists!$A$6</f>
        <v>SIS Act / Regulations</v>
      </c>
      <c r="B22" s="21" t="n">
        <f aca="false">COUNTIF('Breach register'!$G$5:$G$104,A22)</f>
        <v>0</v>
      </c>
    </row>
    <row r="23" customFormat="false" ht="15" hidden="false" customHeight="false" outlineLevel="0" collapsed="false">
      <c r="A23" s="18" t="str">
        <f aca="false">Lists!$A$7</f>
        <v>National Credit Act</v>
      </c>
      <c r="B23" s="21" t="n">
        <f aca="false">COUNTIF('Breach register'!$G$5:$G$104,A23)</f>
        <v>0</v>
      </c>
    </row>
    <row r="24" customFormat="false" ht="15" hidden="false" customHeight="false" outlineLevel="0" collapsed="false">
      <c r="A24" s="18" t="str">
        <f aca="false">Lists!$A$8</f>
        <v>ASIC Act</v>
      </c>
      <c r="B24" s="21" t="n">
        <f aca="false">COUNTIF('Breach register'!$G$5:$G$104,A24)</f>
        <v>0</v>
      </c>
    </row>
    <row r="25" customFormat="false" ht="15" hidden="false" customHeight="false" outlineLevel="0" collapsed="false">
      <c r="A25" s="18" t="str">
        <f aca="false">Lists!$A$9</f>
        <v>ASIC instrument or RG</v>
      </c>
      <c r="B25" s="21" t="n">
        <f aca="false">COUNTIF('Breach register'!$G$5:$G$104,A25)</f>
        <v>0</v>
      </c>
    </row>
    <row r="26" customFormat="false" ht="15" hidden="false" customHeight="false" outlineLevel="0" collapsed="false">
      <c r="A26" s="18" t="str">
        <f aca="false">Lists!$A$10</f>
        <v>APRA prudential standard</v>
      </c>
      <c r="B26" s="21" t="n">
        <f aca="false">COUNTIF('Breach register'!$G$5:$G$104,A26)</f>
        <v>0</v>
      </c>
    </row>
    <row r="27" customFormat="false" ht="15" hidden="false" customHeight="false" outlineLevel="0" collapsed="false">
      <c r="A27" s="18" t="str">
        <f aca="false">Lists!$A$11</f>
        <v>Privacy Act</v>
      </c>
      <c r="B27" s="21" t="n">
        <f aca="false">COUNTIF('Breach register'!$G$5:$G$104,A27)</f>
        <v>0</v>
      </c>
    </row>
    <row r="28" customFormat="false" ht="15" hidden="false" customHeight="false" outlineLevel="0" collapsed="false">
      <c r="A28" s="18" t="str">
        <f aca="false">Lists!$A$12</f>
        <v>AML/CTF Act</v>
      </c>
      <c r="B28" s="21" t="n">
        <f aca="false">COUNTIF('Breach register'!$G$5:$G$104,A28)</f>
        <v>0</v>
      </c>
    </row>
    <row r="29" customFormat="false" ht="15" hidden="false" customHeight="false" outlineLevel="0" collapsed="false">
      <c r="A29" s="18" t="str">
        <f aca="false">Lists!$A$13</f>
        <v>Industry code</v>
      </c>
      <c r="B29" s="21" t="n">
        <f aca="false">COUNTIF('Breach register'!$G$5:$G$104,A29)</f>
        <v>0</v>
      </c>
    </row>
    <row r="30" customFormat="false" ht="15" hidden="false" customHeight="false" outlineLevel="0" collapsed="false">
      <c r="A30" s="18" t="str">
        <f aca="false">Lists!$A$14</f>
        <v>Licence condition</v>
      </c>
      <c r="B30" s="21" t="n">
        <f aca="false">COUNTIF('Breach register'!$G$5:$G$104,A30)</f>
        <v>0</v>
      </c>
    </row>
    <row r="31" customFormat="false" ht="15" hidden="false" customHeight="false" outlineLevel="0" collapsed="false">
      <c r="A31" s="18" t="str">
        <f aca="false">Lists!$A$15</f>
        <v>Contract</v>
      </c>
      <c r="B31" s="21" t="n">
        <f aca="false">COUNTIF('Breach register'!$G$5:$G$104,A31)</f>
        <v>0</v>
      </c>
    </row>
    <row r="32" customFormat="false" ht="15" hidden="false" customHeight="false" outlineLevel="0" collapsed="false">
      <c r="A32" s="18" t="str">
        <f aca="false">Lists!$A$16</f>
        <v>Internal policy</v>
      </c>
      <c r="B32" s="21" t="n">
        <f aca="false">COUNTIF('Breach register'!$G$5:$G$104,A32)</f>
        <v>0</v>
      </c>
    </row>
    <row r="33" customFormat="false" ht="15" hidden="false" customHeight="false" outlineLevel="0" collapsed="false">
      <c r="A33" s="18" t="str">
        <f aca="false">Lists!$A$17</f>
        <v>Other</v>
      </c>
      <c r="B33" s="21" t="n">
        <f aca="false">COUNTIF('Breach register'!$G$5:$G$104,A33)</f>
        <v>0</v>
      </c>
    </row>
    <row r="36" customFormat="false" ht="24" hidden="false" customHeight="true" outlineLevel="0" collapsed="false">
      <c r="A36" s="9" t="s">
        <v>120</v>
      </c>
      <c r="B36" s="9" t="s">
        <v>105</v>
      </c>
    </row>
    <row r="37" customFormat="false" ht="15" hidden="false" customHeight="false" outlineLevel="0" collapsed="false">
      <c r="A37" s="22" t="n">
        <f aca="true">DATE(YEAR(TODAY()),MONTH(TODAY())-11,1)</f>
        <v>45931</v>
      </c>
      <c r="B37" s="21" t="n">
        <f aca="false">COUNTIFS('Breach register'!$B$5:$B$104,"&gt;="&amp;A37,'Breach register'!$B$5:$B$104,"&lt;"&amp;EDATE(A37,1))</f>
        <v>0</v>
      </c>
    </row>
    <row r="38" customFormat="false" ht="15" hidden="false" customHeight="false" outlineLevel="0" collapsed="false">
      <c r="A38" s="22" t="n">
        <f aca="true">DATE(YEAR(TODAY()),MONTH(TODAY())-10,1)</f>
        <v>45962</v>
      </c>
      <c r="B38" s="21" t="n">
        <f aca="false">COUNTIFS('Breach register'!$B$5:$B$104,"&gt;="&amp;A38,'Breach register'!$B$5:$B$104,"&lt;"&amp;EDATE(A38,1))</f>
        <v>0</v>
      </c>
    </row>
    <row r="39" customFormat="false" ht="15" hidden="false" customHeight="false" outlineLevel="0" collapsed="false">
      <c r="A39" s="22" t="n">
        <f aca="true">DATE(YEAR(TODAY()),MONTH(TODAY())-9,1)</f>
        <v>45992</v>
      </c>
      <c r="B39" s="21" t="n">
        <f aca="false">COUNTIFS('Breach register'!$B$5:$B$104,"&gt;="&amp;A39,'Breach register'!$B$5:$B$104,"&lt;"&amp;EDATE(A39,1))</f>
        <v>0</v>
      </c>
    </row>
    <row r="40" customFormat="false" ht="15" hidden="false" customHeight="false" outlineLevel="0" collapsed="false">
      <c r="A40" s="22" t="n">
        <f aca="true">DATE(YEAR(TODAY()),MONTH(TODAY())-8,1)</f>
        <v>46023</v>
      </c>
      <c r="B40" s="21" t="n">
        <f aca="false">COUNTIFS('Breach register'!$B$5:$B$104,"&gt;="&amp;A40,'Breach register'!$B$5:$B$104,"&lt;"&amp;EDATE(A40,1))</f>
        <v>0</v>
      </c>
    </row>
    <row r="41" customFormat="false" ht="15" hidden="false" customHeight="false" outlineLevel="0" collapsed="false">
      <c r="A41" s="22" t="n">
        <f aca="true">DATE(YEAR(TODAY()),MONTH(TODAY())-7,1)</f>
        <v>46054</v>
      </c>
      <c r="B41" s="21" t="n">
        <f aca="false">COUNTIFS('Breach register'!$B$5:$B$104,"&gt;="&amp;A41,'Breach register'!$B$5:$B$104,"&lt;"&amp;EDATE(A41,1))</f>
        <v>0</v>
      </c>
    </row>
    <row r="42" customFormat="false" ht="15" hidden="false" customHeight="false" outlineLevel="0" collapsed="false">
      <c r="A42" s="22" t="n">
        <f aca="true">DATE(YEAR(TODAY()),MONTH(TODAY())-6,1)</f>
        <v>46082</v>
      </c>
      <c r="B42" s="21" t="n">
        <f aca="false">COUNTIFS('Breach register'!$B$5:$B$104,"&gt;="&amp;A42,'Breach register'!$B$5:$B$104,"&lt;"&amp;EDATE(A42,1))</f>
        <v>0</v>
      </c>
    </row>
    <row r="43" customFormat="false" ht="15" hidden="false" customHeight="false" outlineLevel="0" collapsed="false">
      <c r="A43" s="22" t="n">
        <f aca="true">DATE(YEAR(TODAY()),MONTH(TODAY())-5,1)</f>
        <v>46113</v>
      </c>
      <c r="B43" s="21" t="n">
        <f aca="false">COUNTIFS('Breach register'!$B$5:$B$104,"&gt;="&amp;A43,'Breach register'!$B$5:$B$104,"&lt;"&amp;EDATE(A43,1))</f>
        <v>0</v>
      </c>
    </row>
    <row r="44" customFormat="false" ht="15" hidden="false" customHeight="false" outlineLevel="0" collapsed="false">
      <c r="A44" s="22" t="n">
        <f aca="true">DATE(YEAR(TODAY()),MONTH(TODAY())-4,1)</f>
        <v>46143</v>
      </c>
      <c r="B44" s="21" t="n">
        <f aca="false">COUNTIFS('Breach register'!$B$5:$B$104,"&gt;="&amp;A44,'Breach register'!$B$5:$B$104,"&lt;"&amp;EDATE(A44,1))</f>
        <v>0</v>
      </c>
    </row>
    <row r="45" customFormat="false" ht="15" hidden="false" customHeight="false" outlineLevel="0" collapsed="false">
      <c r="A45" s="22" t="n">
        <f aca="true">DATE(YEAR(TODAY()),MONTH(TODAY())-3,1)</f>
        <v>46174</v>
      </c>
      <c r="B45" s="21" t="n">
        <f aca="false">COUNTIFS('Breach register'!$B$5:$B$104,"&gt;="&amp;A45,'Breach register'!$B$5:$B$104,"&lt;"&amp;EDATE(A45,1))</f>
        <v>0</v>
      </c>
    </row>
    <row r="46" customFormat="false" ht="15" hidden="false" customHeight="false" outlineLevel="0" collapsed="false">
      <c r="A46" s="22" t="n">
        <f aca="true">DATE(YEAR(TODAY()),MONTH(TODAY())-2,1)</f>
        <v>46204</v>
      </c>
      <c r="B46" s="21" t="n">
        <f aca="false">COUNTIFS('Breach register'!$B$5:$B$104,"&gt;="&amp;A46,'Breach register'!$B$5:$B$104,"&lt;"&amp;EDATE(A46,1))</f>
        <v>0</v>
      </c>
    </row>
    <row r="47" customFormat="false" ht="15" hidden="false" customHeight="false" outlineLevel="0" collapsed="false">
      <c r="A47" s="22" t="n">
        <f aca="true">DATE(YEAR(TODAY()),MONTH(TODAY())-1,1)</f>
        <v>46235</v>
      </c>
      <c r="B47" s="21" t="n">
        <f aca="false">COUNTIFS('Breach register'!$B$5:$B$104,"&gt;="&amp;A47,'Breach register'!$B$5:$B$104,"&lt;"&amp;EDATE(A47,1))</f>
        <v>0</v>
      </c>
    </row>
    <row r="48" customFormat="false" ht="15" hidden="false" customHeight="false" outlineLevel="0" collapsed="false">
      <c r="A48" s="22" t="n">
        <f aca="true">DATE(YEAR(TODAY()),MONTH(TODAY())-0,1)</f>
        <v>46266</v>
      </c>
      <c r="B48" s="21" t="n">
        <f aca="false">COUNTIFS('Breach register'!$B$5:$B$104,"&gt;="&amp;A48,'Breach register'!$B$5:$B$104,"&lt;"&amp;EDATE(A48,1))</f>
        <v>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2026-09-27T06:42:54Z</dcterms:created>
  <dc:creator>openpyxl</dc:creator>
  <dc:description/>
  <dc:language>en-US</dc:language>
  <cp:lastModifiedBy/>
  <dcterms:modified xsi:type="dcterms:W3CDTF">2026-09-27T06:42:54Z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