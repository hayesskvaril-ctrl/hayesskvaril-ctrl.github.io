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KRI library" sheetId="2" state="visible" r:id="rId4"/>
    <sheet name="Dashboard" sheetId="3" state="visible" r:id="rId5"/>
    <sheet name="Lists" sheetId="4" state="visible" r:id="rId6"/>
    <sheet name="Threshold design notes" sheetId="5" state="visible" r:id="rId7"/>
  </sheets>
  <definedNames>
    <definedName function="false" hidden="true" localSheetId="1" name="_xlnm._FilterDatabase" vbProcedure="false">'KRI library'!$A$4:$N$64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The limit of the green zone. For 'Lower is worse' KRIs, values at or above this are green.</t>
        </r>
      </text>
    </comment>
    <comment ref="I4" authorId="0">
      <text>
        <r>
          <rPr>
            <sz val="10"/>
            <rFont val="Arial"/>
            <family val="2"/>
          </rPr>
          <t xml:space="preserve">The red trigger. For 'Higher is worse' KRIs, values at or above this are red; for 'Lower is worse', values at or below this are red.</t>
        </r>
      </text>
    </comment>
  </commentList>
</comments>
</file>

<file path=xl/sharedStrings.xml><?xml version="1.0" encoding="utf-8"?>
<sst xmlns="http://schemas.openxmlformats.org/spreadsheetml/2006/main" count="259" uniqueCount="145">
  <si>
    <t xml:space="preserve">Key risk indicator (KRI) library</t>
  </si>
  <si>
    <t xml:space="preserve">RiskLens Australia · free template · version 1.0 (September 2026)</t>
  </si>
  <si>
    <t xml:space="preserve">What this is</t>
  </si>
  <si>
    <t xml:space="preserve">A library of 20 example key risk indicators across risk types, with threshold design notes, and space to record current values (the first three have example values). Status (Green, Amber, Red) calculates automatically. Background: https://hayesskvaril-ctrl.github.io/governance/board-risk-reporting.html</t>
  </si>
  <si>
    <t xml:space="preserve">How to use it</t>
  </si>
  <si>
    <t xml:space="preserve">1. Choose the KRIs relevant to your risk profile and delete the rest.
2. Set green and red thresholds from your risk appetite. Values between them are amber.
3. Set the direction (higher is worse, or lower is worse).
4. Enter the current value each period. Status calculates automatically.
5. See 'Threshold design notes' for guidance.</t>
  </si>
  <si>
    <t xml:space="preserve">Example thresholds</t>
  </si>
  <si>
    <t xml:space="preserve">All thresholds in the examples are illustrative only. They are not benchmarks. Set your own from your risk appetite statement and data.</t>
  </si>
  <si>
    <t xml:space="preserve">Colour key</t>
  </si>
  <si>
    <t xml:space="preserve">Pale yellow cells: fill these in (many have drop-down lists).
Grey-blue cells: calculated automatically; don't type over them.
Green rows: worked examples. Replace or delete them.</t>
  </si>
  <si>
    <t xml:space="preserve">Important</t>
  </si>
  <si>
    <t xml:space="preserve">RiskLens Australia provides general educational information only. It is not legal, financial or compliance advice and does not take into account your circumstances. Always refer to the official legislation and regulator guidance, and seek professional advice where appropriate.</t>
  </si>
  <si>
    <t xml:space="preserve">Fill in</t>
  </si>
  <si>
    <t xml:space="preserve">Calculated</t>
  </si>
  <si>
    <t xml:space="preserve">Example</t>
  </si>
  <si>
    <t xml:space="preserve">KRI library</t>
  </si>
  <si>
    <t xml:space="preserve">Fill in the yellow cells. Grey-blue cells calculate automatically.</t>
  </si>
  <si>
    <t xml:space="preserve">KRI ID</t>
  </si>
  <si>
    <t xml:space="preserve">Risk type</t>
  </si>
  <si>
    <t xml:space="preserve">KRI</t>
  </si>
  <si>
    <t xml:space="preserve">What it measures</t>
  </si>
  <si>
    <t xml:space="preserve">Leading or lagging</t>
  </si>
  <si>
    <t xml:space="preserve">Unit</t>
  </si>
  <si>
    <t xml:space="preserve">Frequency</t>
  </si>
  <si>
    <t xml:space="preserve">Green up to (or from)</t>
  </si>
  <si>
    <t xml:space="preserve">Red at (or below)</t>
  </si>
  <si>
    <t xml:space="preserve">Direction</t>
  </si>
  <si>
    <t xml:space="preserve">Current value</t>
  </si>
  <si>
    <t xml:space="preserve">Status</t>
  </si>
  <si>
    <t xml:space="preserve">Owner</t>
  </si>
  <si>
    <t xml:space="preserve">Design notes</t>
  </si>
  <si>
    <t xml:space="preserve">KRI-01</t>
  </si>
  <si>
    <t xml:space="preserve">Operational</t>
  </si>
  <si>
    <t xml:space="preserve">Number of operational incidents raised</t>
  </si>
  <si>
    <t xml:space="preserve">Volume of incidents recorded in the period</t>
  </si>
  <si>
    <t xml:space="preserve">Lagging</t>
  </si>
  <si>
    <t xml:space="preserve">Count</t>
  </si>
  <si>
    <t xml:space="preserve">Monthly</t>
  </si>
  <si>
    <t xml:space="preserve">Higher is worse</t>
  </si>
  <si>
    <t xml:space="preserve">A sudden fall can mean under-reporting, not improvement.</t>
  </si>
  <si>
    <t xml:space="preserve">KRI-02</t>
  </si>
  <si>
    <t xml:space="preserve">Processing backlog older than 5 business days</t>
  </si>
  <si>
    <t xml:space="preserve">Transactions not processed within service standards</t>
  </si>
  <si>
    <t xml:space="preserve">Leading</t>
  </si>
  <si>
    <t xml:space="preserve">Weekly</t>
  </si>
  <si>
    <t xml:space="preserve">Link thresholds to member harm and legal timeframes (e.g. rollovers).</t>
  </si>
  <si>
    <t xml:space="preserve">KRI-03</t>
  </si>
  <si>
    <t xml:space="preserve">Manual workarounds in critical processes</t>
  </si>
  <si>
    <t xml:space="preserve">Number of manual workarounds in place for critical operations</t>
  </si>
  <si>
    <t xml:space="preserve">Quarterly</t>
  </si>
  <si>
    <t xml:space="preserve">KRI-04</t>
  </si>
  <si>
    <t xml:space="preserve">Compliance</t>
  </si>
  <si>
    <t xml:space="preserve">Breaches identified in the period</t>
  </si>
  <si>
    <t xml:space="preserve">New breaches or possible breaches recorded</t>
  </si>
  <si>
    <t xml:space="preserve">KRI-05</t>
  </si>
  <si>
    <t xml:space="preserve">Regulatory reports lodged late</t>
  </si>
  <si>
    <t xml:space="preserve">Reports to ASIC, APRA, OAIC or AUSTRAC lodged after the deadline</t>
  </si>
  <si>
    <t xml:space="preserve">Any late lodgement should usually be red.</t>
  </si>
  <si>
    <t xml:space="preserve">KRI-06</t>
  </si>
  <si>
    <t xml:space="preserve">Overdue compliance actions</t>
  </si>
  <si>
    <t xml:space="preserve">Compliance issues past their agreed due date</t>
  </si>
  <si>
    <t xml:space="preserve">KRI-07</t>
  </si>
  <si>
    <t xml:space="preserve">Conduct</t>
  </si>
  <si>
    <t xml:space="preserve">Complaints per 1,000 members</t>
  </si>
  <si>
    <t xml:space="preserve">Complaint rate, normalised for size</t>
  </si>
  <si>
    <t xml:space="preserve">Rate</t>
  </si>
  <si>
    <t xml:space="preserve">Normalise so growth doesn't look like deterioration.</t>
  </si>
  <si>
    <t xml:space="preserve">KRI-08</t>
  </si>
  <si>
    <t xml:space="preserve">Complaints resolved within RG 271 timeframes</t>
  </si>
  <si>
    <t xml:space="preserve">Share of complaints closed within the required maximum</t>
  </si>
  <si>
    <t xml:space="preserve">%</t>
  </si>
  <si>
    <t xml:space="preserve">Lower is worse</t>
  </si>
  <si>
    <t xml:space="preserve">KRI-09</t>
  </si>
  <si>
    <t xml:space="preserve">AFCA complaints received</t>
  </si>
  <si>
    <t xml:space="preserve">External disputes lodged with AFCA</t>
  </si>
  <si>
    <t xml:space="preserve">KRI-10</t>
  </si>
  <si>
    <t xml:space="preserve">Technology and cyber</t>
  </si>
  <si>
    <t xml:space="preserve">Critical patches overdue</t>
  </si>
  <si>
    <t xml:space="preserve">Critical security patches not applied within the target timeframe</t>
  </si>
  <si>
    <t xml:space="preserve">Link to Essential Eight target maturity.</t>
  </si>
  <si>
    <t xml:space="preserve">KRI-11</t>
  </si>
  <si>
    <t xml:space="preserve">Phishing simulation click rate</t>
  </si>
  <si>
    <t xml:space="preserve">Share of staff clicking a simulated phishing link</t>
  </si>
  <si>
    <t xml:space="preserve">KRI-12</t>
  </si>
  <si>
    <t xml:space="preserve">Critical system availability</t>
  </si>
  <si>
    <t xml:space="preserve">Uptime of systems supporting critical operations</t>
  </si>
  <si>
    <t xml:space="preserve">Compare with CPS 230 tolerance levels.</t>
  </si>
  <si>
    <t xml:space="preserve">KRI-13</t>
  </si>
  <si>
    <t xml:space="preserve">Third party</t>
  </si>
  <si>
    <t xml:space="preserve">Material service providers with overdue reviews</t>
  </si>
  <si>
    <t xml:space="preserve">Providers whose annual due diligence or performance review is overdue</t>
  </si>
  <si>
    <t xml:space="preserve">KRI-14</t>
  </si>
  <si>
    <t xml:space="preserve">Service level breaches by material providers</t>
  </si>
  <si>
    <t xml:space="preserve">SLA misses in the period</t>
  </si>
  <si>
    <t xml:space="preserve">KRI-15</t>
  </si>
  <si>
    <t xml:space="preserve">People</t>
  </si>
  <si>
    <t xml:space="preserve">Unplanned staff turnover in key teams</t>
  </si>
  <si>
    <t xml:space="preserve">Annualised voluntary turnover in critical roles</t>
  </si>
  <si>
    <t xml:space="preserve">KRI-16</t>
  </si>
  <si>
    <t xml:space="preserve">Mandatory training overdue</t>
  </si>
  <si>
    <t xml:space="preserve">Staff with overdue compliance training</t>
  </si>
  <si>
    <t xml:space="preserve">KRI-17</t>
  </si>
  <si>
    <t xml:space="preserve">Investment (super)</t>
  </si>
  <si>
    <t xml:space="preserve">Options below performance objective</t>
  </si>
  <si>
    <t xml:space="preserve">Investment options behind their return objective over the objective period</t>
  </si>
  <si>
    <t xml:space="preserve">KRI-18</t>
  </si>
  <si>
    <t xml:space="preserve">Liquidity (super)</t>
  </si>
  <si>
    <t xml:space="preserve">Liquid assets as % of option assets</t>
  </si>
  <si>
    <t xml:space="preserve">Liquidity buffer against switching and rollovers</t>
  </si>
  <si>
    <t xml:space="preserve">Set from stress test results, not historical averages.</t>
  </si>
  <si>
    <t xml:space="preserve">KRI-19</t>
  </si>
  <si>
    <t xml:space="preserve">Fraud</t>
  </si>
  <si>
    <t xml:space="preserve">Bank detail changes followed by payment within 48 hours</t>
  </si>
  <si>
    <t xml:space="preserve">A common account takeover pattern</t>
  </si>
  <si>
    <t xml:space="preserve">KRI-20</t>
  </si>
  <si>
    <t xml:space="preserve">Remediation</t>
  </si>
  <si>
    <t xml:space="preserve">Remediation programs past target date</t>
  </si>
  <si>
    <t xml:space="preserve">Open remediation programs behind plan</t>
  </si>
  <si>
    <t xml:space="preserve">Dashboard</t>
  </si>
  <si>
    <t xml:space="preserve">Updates automatically from the register.</t>
  </si>
  <si>
    <t xml:space="preserve">Measure</t>
  </si>
  <si>
    <t xml:space="preserve">Value</t>
  </si>
  <si>
    <t xml:space="preserve">KRIs with a current value</t>
  </si>
  <si>
    <t xml:space="preserve">Red</t>
  </si>
  <si>
    <t xml:space="preserve">Amber</t>
  </si>
  <si>
    <t xml:space="preserve">Green</t>
  </si>
  <si>
    <t xml:space="preserve">KRIs by risk type</t>
  </si>
  <si>
    <t xml:space="preserve">Other</t>
  </si>
  <si>
    <t xml:space="preserve">Drop-down lists</t>
  </si>
  <si>
    <t xml:space="preserve">Edit these values to suit your organisation. The drop-downs read from this tab.</t>
  </si>
  <si>
    <t xml:space="preserve">Daily</t>
  </si>
  <si>
    <t xml:space="preserve">Annually</t>
  </si>
  <si>
    <t xml:space="preserve">Designing KRI thresholds</t>
  </si>
  <si>
    <t xml:space="preserve">Notes to help set green, amber and red thresholds.</t>
  </si>
  <si>
    <t xml:space="preserve">Link to appetite</t>
  </si>
  <si>
    <t xml:space="preserve">Red should mean 'outside appetite' and trigger defined escalation. Amber is an early warning with room to act.</t>
  </si>
  <si>
    <t xml:space="preserve">Some KRIs are worse when higher (incidents), others when lower (service levels). Set the Direction column so the status calculates correctly.</t>
  </si>
  <si>
    <t xml:space="preserve">Evidence</t>
  </si>
  <si>
    <t xml:space="preserve">Base thresholds on history, peer data, tolerance levels and stress testing. Record the rationale in the design notes column.</t>
  </si>
  <si>
    <t xml:space="preserve">Leading and lagging</t>
  </si>
  <si>
    <t xml:space="preserve">Balance lagging indicators (what happened) with leading ones (what might happen). Leading indicators give time to act.</t>
  </si>
  <si>
    <t xml:space="preserve">Test predictive value</t>
  </si>
  <si>
    <t xml:space="preserve">Check whether indicators actually moved before past incidents. Replace ones that didn't.</t>
  </si>
  <si>
    <t xml:space="preserve">Review</t>
  </si>
  <si>
    <t xml:space="preserve">Review KRIs and thresholds at least annually, and after major incidents or changes to the business.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</si>
</sst>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0F2942"/>
      <name val="Arial"/>
      <family val="0"/>
      <charset val="1"/>
    </font>
    <font>
      <i val="true"/>
      <sz val="10"/>
      <color rgb="FF4A5568"/>
      <name val="Arial"/>
      <family val="0"/>
      <charset val="1"/>
    </font>
    <font>
      <b val="true"/>
      <sz val="11"/>
      <color rgb="FF0F2942"/>
      <name val="Arial"/>
      <family val="0"/>
      <charset val="1"/>
    </font>
    <font>
      <sz val="10"/>
      <color rgb="FF000000"/>
      <name val="Arial"/>
      <family val="0"/>
      <charset val="1"/>
    </font>
    <font>
      <b val="true"/>
      <sz val="10"/>
      <color rgb="FFFFFFFF"/>
      <name val="Arial"/>
      <family val="0"/>
      <charset val="1"/>
    </font>
    <font>
      <sz val="10"/>
      <name val="Arial"/>
      <family val="2"/>
    </font>
    <font>
      <b val="true"/>
      <sz val="10"/>
      <color rgb="FF000000"/>
      <name val="Arial"/>
      <family val="0"/>
      <charset val="1"/>
    </font>
  </fonts>
  <fills count="6">
    <fill>
      <patternFill patternType="none"/>
    </fill>
    <fill>
      <patternFill patternType="gray125"/>
    </fill>
    <fill>
      <patternFill patternType="solid">
        <fgColor rgb="FFFFF7D6"/>
        <bgColor rgb="FFEEF2F7"/>
      </patternFill>
    </fill>
    <fill>
      <patternFill patternType="solid">
        <fgColor rgb="FFEEF2F7"/>
        <bgColor rgb="FFE7F6EC"/>
      </patternFill>
    </fill>
    <fill>
      <patternFill patternType="solid">
        <fgColor rgb="FFE7F6EC"/>
        <bgColor rgb="FFEEF2F7"/>
      </patternFill>
    </fill>
    <fill>
      <patternFill patternType="solid">
        <fgColor rgb="FF0F2942"/>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F2942"/>
          <bgColor rgb="FF000000"/>
        </patternFill>
      </fill>
    </dxf>
    <dxf>
      <fill>
        <patternFill patternType="solid">
          <fgColor rgb="FFE7F6EC"/>
          <bgColor rgb="FF000000"/>
        </patternFill>
      </fill>
    </dxf>
    <dxf>
      <fill>
        <patternFill patternType="solid">
          <fgColor rgb="FFFFF7D6"/>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FE5CB"/>
          <bgColor rgb="FF000000"/>
        </patternFill>
      </fill>
    </dxf>
    <dxf>
      <fill>
        <patternFill patternType="solid">
          <fgColor rgb="FFEEF2F7"/>
          <bgColor rgb="FF000000"/>
        </patternFill>
      </fill>
    </dxf>
    <dxf>
      <fill>
        <patternFill patternType="solid">
          <fgColor rgb="FFFCA5A5"/>
          <bgColor rgb="FF000000"/>
        </patternFill>
      </fill>
    </dxf>
    <dxf>
      <fill>
        <patternFill patternType="solid">
          <fgColor rgb="FFFDE68A"/>
          <bgColor rgb="FF000000"/>
        </patternFill>
      </fill>
    </dxf>
    <dxf>
      <fill>
        <patternFill>
          <bgColor rgb="FFBFE5CB"/>
        </patternFill>
      </fill>
    </dxf>
    <dxf>
      <fill>
        <patternFill>
          <bgColor rgb="FFFDE68A"/>
        </patternFill>
      </fill>
    </dxf>
    <dxf>
      <fill>
        <patternFill>
          <bgColor rgb="FFFCA5A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D6"/>
      <rgbColor rgb="FFE7F6EC"/>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EF2F7"/>
      <rgbColor rgb="FFBFE5CB"/>
      <rgbColor rgb="FFFDE68A"/>
      <rgbColor rgb="FF99CCFF"/>
      <rgbColor rgb="FFFCA5A5"/>
      <rgbColor rgb="FFCC99FF"/>
      <rgbColor rgb="FFFFCC99"/>
      <rgbColor rgb="FF3366FF"/>
      <rgbColor rgb="FF33CCCC"/>
      <rgbColor rgb="FF99CC00"/>
      <rgbColor rgb="FFFFCC00"/>
      <rgbColor rgb="FFFF9900"/>
      <rgbColor rgb="FFFF6600"/>
      <rgbColor rgb="FF4A5568"/>
      <rgbColor rgb="FF969696"/>
      <rgbColor rgb="FF0F2942"/>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0</v>
      </c>
    </row>
    <row r="2" customFormat="false" ht="15" hidden="false" customHeight="false" outlineLevel="0" collapsed="false">
      <c r="A2" s="2" t="s">
        <v>1</v>
      </c>
    </row>
    <row r="4" customFormat="false" ht="60" hidden="false" customHeight="true" outlineLevel="0" collapsed="false">
      <c r="A4" s="3" t="s">
        <v>2</v>
      </c>
      <c r="B4" s="4" t="s">
        <v>3</v>
      </c>
    </row>
    <row r="5" customFormat="false" ht="120" hidden="false" customHeight="true" outlineLevel="0" collapsed="false">
      <c r="A5" s="3" t="s">
        <v>4</v>
      </c>
      <c r="B5" s="4" t="s">
        <v>5</v>
      </c>
    </row>
    <row r="6" customFormat="false" ht="30" hidden="false" customHeight="true" outlineLevel="0" collapsed="false">
      <c r="A6" s="3" t="s">
        <v>6</v>
      </c>
      <c r="B6" s="4" t="s">
        <v>7</v>
      </c>
    </row>
    <row r="7" customFormat="false" ht="60" hidden="false" customHeight="true" outlineLevel="0" collapsed="false">
      <c r="A7" s="3" t="s">
        <v>8</v>
      </c>
      <c r="B7" s="4" t="s">
        <v>9</v>
      </c>
    </row>
    <row r="8" customFormat="false" ht="45" hidden="false" customHeight="true" outlineLevel="0" collapsed="false">
      <c r="A8" s="3" t="s">
        <v>10</v>
      </c>
      <c r="B8" s="4" t="s">
        <v>11</v>
      </c>
    </row>
    <row r="10" customFormat="false" ht="15" hidden="false" customHeight="false" outlineLevel="0" collapsed="false">
      <c r="A10" s="5" t="s">
        <v>12</v>
      </c>
    </row>
    <row r="11" customFormat="false" ht="15" hidden="false" customHeight="false" outlineLevel="0" collapsed="false">
      <c r="A11" s="6" t="s">
        <v>13</v>
      </c>
    </row>
    <row r="12" customFormat="false" ht="15" hidden="false" customHeight="false" outlineLevel="0" collapsed="false">
      <c r="A12" s="7" t="s">
        <v>14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36"/>
    <col collapsed="false" customWidth="true" hidden="false" outlineLevel="0" max="4" min="4" style="0" width="38"/>
    <col collapsed="false" customWidth="true" hidden="false" outlineLevel="0" max="5" min="5" style="0" width="11"/>
    <col collapsed="false" customWidth="true" hidden="false" outlineLevel="0" max="6" min="6" style="0" width="8"/>
    <col collapsed="false" customWidth="true" hidden="false" outlineLevel="0" max="9" min="7" style="0" width="11"/>
    <col collapsed="false" customWidth="true" hidden="false" outlineLevel="0" max="10" min="10" style="0" width="14"/>
    <col collapsed="false" customWidth="true" hidden="false" outlineLevel="0" max="12" min="11" style="0" width="10"/>
    <col collapsed="false" customWidth="true" hidden="false" outlineLevel="0" max="13" min="13" style="0" width="16"/>
    <col collapsed="false" customWidth="true" hidden="false" outlineLevel="0" max="14" min="14" style="0" width="40"/>
  </cols>
  <sheetData>
    <row r="1" customFormat="false" ht="25.5" hidden="false" customHeight="true" outlineLevel="0" collapsed="false">
      <c r="A1" s="1" t="s">
        <v>15</v>
      </c>
    </row>
    <row r="2" customFormat="false" ht="15" hidden="false" customHeight="false" outlineLevel="0" collapsed="false">
      <c r="A2" s="2" t="s">
        <v>16</v>
      </c>
    </row>
    <row r="4" customFormat="false" ht="43.5" hidden="false" customHeight="true" outlineLevel="0" collapsed="false">
      <c r="A4" s="8" t="s">
        <v>17</v>
      </c>
      <c r="B4" s="8" t="s">
        <v>18</v>
      </c>
      <c r="C4" s="8" t="s">
        <v>19</v>
      </c>
      <c r="D4" s="8" t="s">
        <v>20</v>
      </c>
      <c r="E4" s="8" t="s">
        <v>21</v>
      </c>
      <c r="F4" s="8" t="s">
        <v>22</v>
      </c>
      <c r="G4" s="8" t="s">
        <v>23</v>
      </c>
      <c r="H4" s="8" t="s">
        <v>24</v>
      </c>
      <c r="I4" s="8" t="s">
        <v>25</v>
      </c>
      <c r="J4" s="8" t="s">
        <v>26</v>
      </c>
      <c r="K4" s="8" t="s">
        <v>27</v>
      </c>
      <c r="L4" s="8" t="s">
        <v>28</v>
      </c>
      <c r="M4" s="8" t="s">
        <v>29</v>
      </c>
      <c r="N4" s="8" t="s">
        <v>30</v>
      </c>
    </row>
    <row r="5" customFormat="false" ht="15" hidden="false" customHeight="false" outlineLevel="0" collapsed="false">
      <c r="A5" s="7" t="s">
        <v>31</v>
      </c>
      <c r="B5" s="7" t="s">
        <v>32</v>
      </c>
      <c r="C5" s="7" t="s">
        <v>33</v>
      </c>
      <c r="D5" s="7" t="s">
        <v>34</v>
      </c>
      <c r="E5" s="7" t="s">
        <v>35</v>
      </c>
      <c r="F5" s="7" t="s">
        <v>36</v>
      </c>
      <c r="G5" s="7" t="s">
        <v>37</v>
      </c>
      <c r="H5" s="7" t="n">
        <v>10</v>
      </c>
      <c r="I5" s="7" t="n">
        <v>20</v>
      </c>
      <c r="J5" s="7" t="s">
        <v>38</v>
      </c>
      <c r="K5" s="7" t="n">
        <v>8</v>
      </c>
      <c r="L5" s="6" t="str">
        <f aca="false">IF(OR(K5="",H5="",I5="",J5=""),"",IF(J5="Higher is worse",IF(K5&gt;=I5,"Red",IF(K5&gt;H5,"Amber","Green")),IF(K5&lt;=I5,"Red",IF(K5&lt;H5,"Amber","Green"))))</f>
        <v>Green</v>
      </c>
      <c r="M5" s="7"/>
      <c r="N5" s="7" t="s">
        <v>39</v>
      </c>
    </row>
    <row r="6" customFormat="false" ht="23.85" hidden="false" customHeight="false" outlineLevel="0" collapsed="false">
      <c r="A6" s="7" t="s">
        <v>40</v>
      </c>
      <c r="B6" s="7" t="s">
        <v>32</v>
      </c>
      <c r="C6" s="7" t="s">
        <v>41</v>
      </c>
      <c r="D6" s="7" t="s">
        <v>42</v>
      </c>
      <c r="E6" s="7" t="s">
        <v>43</v>
      </c>
      <c r="F6" s="7" t="s">
        <v>36</v>
      </c>
      <c r="G6" s="7" t="s">
        <v>44</v>
      </c>
      <c r="H6" s="7" t="n">
        <v>50</v>
      </c>
      <c r="I6" s="7" t="n">
        <v>200</v>
      </c>
      <c r="J6" s="7" t="s">
        <v>38</v>
      </c>
      <c r="K6" s="7" t="n">
        <v>120</v>
      </c>
      <c r="L6" s="6" t="str">
        <f aca="false">IF(OR(K6="",H6="",I6="",J6=""),"",IF(J6="Higher is worse",IF(K6&gt;=I6,"Red",IF(K6&gt;H6,"Amber","Green")),IF(K6&lt;=I6,"Red",IF(K6&lt;H6,"Amber","Green"))))</f>
        <v>Amber</v>
      </c>
      <c r="M6" s="7"/>
      <c r="N6" s="7" t="s">
        <v>45</v>
      </c>
    </row>
    <row r="7" customFormat="false" ht="23.85" hidden="false" customHeight="false" outlineLevel="0" collapsed="false">
      <c r="A7" s="7" t="s">
        <v>46</v>
      </c>
      <c r="B7" s="7" t="s">
        <v>32</v>
      </c>
      <c r="C7" s="7" t="s">
        <v>47</v>
      </c>
      <c r="D7" s="7" t="s">
        <v>48</v>
      </c>
      <c r="E7" s="7" t="s">
        <v>43</v>
      </c>
      <c r="F7" s="7" t="s">
        <v>36</v>
      </c>
      <c r="G7" s="7" t="s">
        <v>49</v>
      </c>
      <c r="H7" s="7" t="n">
        <v>3</v>
      </c>
      <c r="I7" s="7" t="n">
        <v>6</v>
      </c>
      <c r="J7" s="7" t="s">
        <v>38</v>
      </c>
      <c r="K7" s="7" t="n">
        <v>7</v>
      </c>
      <c r="L7" s="6" t="str">
        <f aca="false">IF(OR(K7="",H7="",I7="",J7=""),"",IF(J7="Higher is worse",IF(K7&gt;=I7,"Red",IF(K7&gt;H7,"Amber","Green")),IF(K7&lt;=I7,"Red",IF(K7&lt;H7,"Amber","Green"))))</f>
        <v>Red</v>
      </c>
      <c r="M7" s="7"/>
      <c r="N7" s="7"/>
    </row>
    <row r="8" customFormat="false" ht="15" hidden="false" customHeight="false" outlineLevel="0" collapsed="false">
      <c r="A8" s="7" t="s">
        <v>50</v>
      </c>
      <c r="B8" s="7" t="s">
        <v>51</v>
      </c>
      <c r="C8" s="7" t="s">
        <v>52</v>
      </c>
      <c r="D8" s="7" t="s">
        <v>53</v>
      </c>
      <c r="E8" s="7" t="s">
        <v>35</v>
      </c>
      <c r="F8" s="7" t="s">
        <v>36</v>
      </c>
      <c r="G8" s="7" t="s">
        <v>37</v>
      </c>
      <c r="H8" s="7" t="n">
        <v>5</v>
      </c>
      <c r="I8" s="7" t="n">
        <v>10</v>
      </c>
      <c r="J8" s="7" t="s">
        <v>38</v>
      </c>
      <c r="K8" s="7"/>
      <c r="L8" s="6" t="str">
        <f aca="false">IF(OR(K8="",H8="",I8="",J8=""),"",IF(J8="Higher is worse",IF(K8&gt;=I8,"Red",IF(K8&gt;H8,"Amber","Green")),IF(K8&lt;=I8,"Red",IF(K8&lt;H8,"Amber","Green"))))</f>
        <v/>
      </c>
      <c r="M8" s="7"/>
      <c r="N8" s="7"/>
    </row>
    <row r="9" customFormat="false" ht="23.85" hidden="false" customHeight="false" outlineLevel="0" collapsed="false">
      <c r="A9" s="7" t="s">
        <v>54</v>
      </c>
      <c r="B9" s="7" t="s">
        <v>51</v>
      </c>
      <c r="C9" s="7" t="s">
        <v>55</v>
      </c>
      <c r="D9" s="7" t="s">
        <v>56</v>
      </c>
      <c r="E9" s="7" t="s">
        <v>35</v>
      </c>
      <c r="F9" s="7" t="s">
        <v>36</v>
      </c>
      <c r="G9" s="7" t="s">
        <v>37</v>
      </c>
      <c r="H9" s="7" t="n">
        <v>0</v>
      </c>
      <c r="I9" s="7" t="n">
        <v>1</v>
      </c>
      <c r="J9" s="7" t="s">
        <v>38</v>
      </c>
      <c r="K9" s="7"/>
      <c r="L9" s="6" t="str">
        <f aca="false">IF(OR(K9="",H9="",I9="",J9=""),"",IF(J9="Higher is worse",IF(K9&gt;=I9,"Red",IF(K9&gt;H9,"Amber","Green")),IF(K9&lt;=I9,"Red",IF(K9&lt;H9,"Amber","Green"))))</f>
        <v/>
      </c>
      <c r="M9" s="7"/>
      <c r="N9" s="7" t="s">
        <v>57</v>
      </c>
    </row>
    <row r="10" customFormat="false" ht="15" hidden="false" customHeight="false" outlineLevel="0" collapsed="false">
      <c r="A10" s="7" t="s">
        <v>58</v>
      </c>
      <c r="B10" s="7" t="s">
        <v>51</v>
      </c>
      <c r="C10" s="7" t="s">
        <v>59</v>
      </c>
      <c r="D10" s="7" t="s">
        <v>60</v>
      </c>
      <c r="E10" s="7" t="s">
        <v>43</v>
      </c>
      <c r="F10" s="7" t="s">
        <v>36</v>
      </c>
      <c r="G10" s="7" t="s">
        <v>37</v>
      </c>
      <c r="H10" s="7" t="n">
        <v>3</v>
      </c>
      <c r="I10" s="7" t="n">
        <v>8</v>
      </c>
      <c r="J10" s="7" t="s">
        <v>38</v>
      </c>
      <c r="K10" s="7"/>
      <c r="L10" s="6" t="str">
        <f aca="false">IF(OR(K10="",H10="",I10="",J10=""),"",IF(J10="Higher is worse",IF(K10&gt;=I10,"Red",IF(K10&gt;H10,"Amber","Green")),IF(K10&lt;=I10,"Red",IF(K10&lt;H10,"Amber","Green"))))</f>
        <v/>
      </c>
      <c r="M10" s="7"/>
      <c r="N10" s="7"/>
    </row>
    <row r="11" customFormat="false" ht="15" hidden="false" customHeight="false" outlineLevel="0" collapsed="false">
      <c r="A11" s="7" t="s">
        <v>61</v>
      </c>
      <c r="B11" s="7" t="s">
        <v>62</v>
      </c>
      <c r="C11" s="7" t="s">
        <v>63</v>
      </c>
      <c r="D11" s="7" t="s">
        <v>64</v>
      </c>
      <c r="E11" s="7" t="s">
        <v>35</v>
      </c>
      <c r="F11" s="7" t="s">
        <v>65</v>
      </c>
      <c r="G11" s="7" t="s">
        <v>37</v>
      </c>
      <c r="H11" s="7" t="n">
        <v>2</v>
      </c>
      <c r="I11" s="7" t="n">
        <v>4</v>
      </c>
      <c r="J11" s="7" t="s">
        <v>38</v>
      </c>
      <c r="K11" s="7"/>
      <c r="L11" s="6" t="str">
        <f aca="false">IF(OR(K11="",H11="",I11="",J11=""),"",IF(J11="Higher is worse",IF(K11&gt;=I11,"Red",IF(K11&gt;H11,"Amber","Green")),IF(K11&lt;=I11,"Red",IF(K11&lt;H11,"Amber","Green"))))</f>
        <v/>
      </c>
      <c r="M11" s="7"/>
      <c r="N11" s="7" t="s">
        <v>66</v>
      </c>
    </row>
    <row r="12" customFormat="false" ht="15" hidden="false" customHeight="false" outlineLevel="0" collapsed="false">
      <c r="A12" s="7" t="s">
        <v>67</v>
      </c>
      <c r="B12" s="7" t="s">
        <v>62</v>
      </c>
      <c r="C12" s="7" t="s">
        <v>68</v>
      </c>
      <c r="D12" s="7" t="s">
        <v>69</v>
      </c>
      <c r="E12" s="7" t="s">
        <v>35</v>
      </c>
      <c r="F12" s="7" t="s">
        <v>70</v>
      </c>
      <c r="G12" s="7" t="s">
        <v>37</v>
      </c>
      <c r="H12" s="7" t="n">
        <v>95</v>
      </c>
      <c r="I12" s="7" t="n">
        <v>90</v>
      </c>
      <c r="J12" s="7" t="s">
        <v>71</v>
      </c>
      <c r="K12" s="7"/>
      <c r="L12" s="6" t="str">
        <f aca="false">IF(OR(K12="",H12="",I12="",J12=""),"",IF(J12="Higher is worse",IF(K12&gt;=I12,"Red",IF(K12&gt;H12,"Amber","Green")),IF(K12&lt;=I12,"Red",IF(K12&lt;H12,"Amber","Green"))))</f>
        <v/>
      </c>
      <c r="M12" s="7"/>
      <c r="N12" s="7"/>
    </row>
    <row r="13" customFormat="false" ht="15" hidden="false" customHeight="false" outlineLevel="0" collapsed="false">
      <c r="A13" s="7" t="s">
        <v>72</v>
      </c>
      <c r="B13" s="7" t="s">
        <v>62</v>
      </c>
      <c r="C13" s="7" t="s">
        <v>73</v>
      </c>
      <c r="D13" s="7" t="s">
        <v>74</v>
      </c>
      <c r="E13" s="7" t="s">
        <v>35</v>
      </c>
      <c r="F13" s="7" t="s">
        <v>36</v>
      </c>
      <c r="G13" s="7" t="s">
        <v>49</v>
      </c>
      <c r="H13" s="7" t="n">
        <v>10</v>
      </c>
      <c r="I13" s="7" t="n">
        <v>20</v>
      </c>
      <c r="J13" s="7" t="s">
        <v>38</v>
      </c>
      <c r="K13" s="7"/>
      <c r="L13" s="6" t="str">
        <f aca="false">IF(OR(K13="",H13="",I13="",J13=""),"",IF(J13="Higher is worse",IF(K13&gt;=I13,"Red",IF(K13&gt;H13,"Amber","Green")),IF(K13&lt;=I13,"Red",IF(K13&lt;H13,"Amber","Green"))))</f>
        <v/>
      </c>
      <c r="M13" s="7"/>
      <c r="N13" s="7"/>
    </row>
    <row r="14" customFormat="false" ht="23.85" hidden="false" customHeight="false" outlineLevel="0" collapsed="false">
      <c r="A14" s="7" t="s">
        <v>75</v>
      </c>
      <c r="B14" s="7" t="s">
        <v>76</v>
      </c>
      <c r="C14" s="7" t="s">
        <v>77</v>
      </c>
      <c r="D14" s="7" t="s">
        <v>78</v>
      </c>
      <c r="E14" s="7" t="s">
        <v>43</v>
      </c>
      <c r="F14" s="7" t="s">
        <v>36</v>
      </c>
      <c r="G14" s="7" t="s">
        <v>44</v>
      </c>
      <c r="H14" s="7" t="n">
        <v>0</v>
      </c>
      <c r="I14" s="7" t="n">
        <v>3</v>
      </c>
      <c r="J14" s="7" t="s">
        <v>38</v>
      </c>
      <c r="K14" s="7"/>
      <c r="L14" s="6" t="str">
        <f aca="false">IF(OR(K14="",H14="",I14="",J14=""),"",IF(J14="Higher is worse",IF(K14&gt;=I14,"Red",IF(K14&gt;H14,"Amber","Green")),IF(K14&lt;=I14,"Red",IF(K14&lt;H14,"Amber","Green"))))</f>
        <v/>
      </c>
      <c r="M14" s="7"/>
      <c r="N14" s="7" t="s">
        <v>79</v>
      </c>
    </row>
    <row r="15" customFormat="false" ht="15" hidden="false" customHeight="false" outlineLevel="0" collapsed="false">
      <c r="A15" s="7" t="s">
        <v>80</v>
      </c>
      <c r="B15" s="7" t="s">
        <v>76</v>
      </c>
      <c r="C15" s="7" t="s">
        <v>81</v>
      </c>
      <c r="D15" s="7" t="s">
        <v>82</v>
      </c>
      <c r="E15" s="7" t="s">
        <v>43</v>
      </c>
      <c r="F15" s="7" t="s">
        <v>70</v>
      </c>
      <c r="G15" s="7" t="s">
        <v>49</v>
      </c>
      <c r="H15" s="7" t="n">
        <v>5</v>
      </c>
      <c r="I15" s="7" t="n">
        <v>10</v>
      </c>
      <c r="J15" s="7" t="s">
        <v>38</v>
      </c>
      <c r="K15" s="7"/>
      <c r="L15" s="6" t="str">
        <f aca="false">IF(OR(K15="",H15="",I15="",J15=""),"",IF(J15="Higher is worse",IF(K15&gt;=I15,"Red",IF(K15&gt;H15,"Amber","Green")),IF(K15&lt;=I15,"Red",IF(K15&lt;H15,"Amber","Green"))))</f>
        <v/>
      </c>
      <c r="M15" s="7"/>
      <c r="N15" s="7"/>
    </row>
    <row r="16" customFormat="false" ht="15" hidden="false" customHeight="false" outlineLevel="0" collapsed="false">
      <c r="A16" s="7" t="s">
        <v>83</v>
      </c>
      <c r="B16" s="7" t="s">
        <v>76</v>
      </c>
      <c r="C16" s="7" t="s">
        <v>84</v>
      </c>
      <c r="D16" s="7" t="s">
        <v>85</v>
      </c>
      <c r="E16" s="7" t="s">
        <v>35</v>
      </c>
      <c r="F16" s="7" t="s">
        <v>70</v>
      </c>
      <c r="G16" s="7" t="s">
        <v>37</v>
      </c>
      <c r="H16" s="7" t="n">
        <v>99.5</v>
      </c>
      <c r="I16" s="7" t="n">
        <v>99</v>
      </c>
      <c r="J16" s="7" t="s">
        <v>71</v>
      </c>
      <c r="K16" s="7"/>
      <c r="L16" s="6" t="str">
        <f aca="false">IF(OR(K16="",H16="",I16="",J16=""),"",IF(J16="Higher is worse",IF(K16&gt;=I16,"Red",IF(K16&gt;H16,"Amber","Green")),IF(K16&lt;=I16,"Red",IF(K16&lt;H16,"Amber","Green"))))</f>
        <v/>
      </c>
      <c r="M16" s="7"/>
      <c r="N16" s="7" t="s">
        <v>86</v>
      </c>
    </row>
    <row r="17" customFormat="false" ht="23.85" hidden="false" customHeight="false" outlineLevel="0" collapsed="false">
      <c r="A17" s="7" t="s">
        <v>87</v>
      </c>
      <c r="B17" s="7" t="s">
        <v>88</v>
      </c>
      <c r="C17" s="7" t="s">
        <v>89</v>
      </c>
      <c r="D17" s="7" t="s">
        <v>90</v>
      </c>
      <c r="E17" s="7" t="s">
        <v>43</v>
      </c>
      <c r="F17" s="7" t="s">
        <v>36</v>
      </c>
      <c r="G17" s="7" t="s">
        <v>49</v>
      </c>
      <c r="H17" s="7" t="n">
        <v>0</v>
      </c>
      <c r="I17" s="7" t="n">
        <v>2</v>
      </c>
      <c r="J17" s="7" t="s">
        <v>38</v>
      </c>
      <c r="K17" s="7"/>
      <c r="L17" s="6" t="str">
        <f aca="false">IF(OR(K17="",H17="",I17="",J17=""),"",IF(J17="Higher is worse",IF(K17&gt;=I17,"Red",IF(K17&gt;H17,"Amber","Green")),IF(K17&lt;=I17,"Red",IF(K17&lt;H17,"Amber","Green"))))</f>
        <v/>
      </c>
      <c r="M17" s="7"/>
      <c r="N17" s="7"/>
    </row>
    <row r="18" customFormat="false" ht="15" hidden="false" customHeight="false" outlineLevel="0" collapsed="false">
      <c r="A18" s="7" t="s">
        <v>91</v>
      </c>
      <c r="B18" s="7" t="s">
        <v>88</v>
      </c>
      <c r="C18" s="7" t="s">
        <v>92</v>
      </c>
      <c r="D18" s="7" t="s">
        <v>93</v>
      </c>
      <c r="E18" s="7" t="s">
        <v>35</v>
      </c>
      <c r="F18" s="7" t="s">
        <v>36</v>
      </c>
      <c r="G18" s="7" t="s">
        <v>37</v>
      </c>
      <c r="H18" s="7" t="n">
        <v>2</v>
      </c>
      <c r="I18" s="7" t="n">
        <v>5</v>
      </c>
      <c r="J18" s="7" t="s">
        <v>38</v>
      </c>
      <c r="K18" s="7"/>
      <c r="L18" s="6" t="str">
        <f aca="false">IF(OR(K18="",H18="",I18="",J18=""),"",IF(J18="Higher is worse",IF(K18&gt;=I18,"Red",IF(K18&gt;H18,"Amber","Green")),IF(K18&lt;=I18,"Red",IF(K18&lt;H18,"Amber","Green"))))</f>
        <v/>
      </c>
      <c r="M18" s="7"/>
      <c r="N18" s="7"/>
    </row>
    <row r="19" customFormat="false" ht="15" hidden="false" customHeight="false" outlineLevel="0" collapsed="false">
      <c r="A19" s="7" t="s">
        <v>94</v>
      </c>
      <c r="B19" s="7" t="s">
        <v>95</v>
      </c>
      <c r="C19" s="7" t="s">
        <v>96</v>
      </c>
      <c r="D19" s="7" t="s">
        <v>97</v>
      </c>
      <c r="E19" s="7" t="s">
        <v>43</v>
      </c>
      <c r="F19" s="7" t="s">
        <v>70</v>
      </c>
      <c r="G19" s="7" t="s">
        <v>49</v>
      </c>
      <c r="H19" s="7" t="n">
        <v>15</v>
      </c>
      <c r="I19" s="7" t="n">
        <v>25</v>
      </c>
      <c r="J19" s="7" t="s">
        <v>38</v>
      </c>
      <c r="K19" s="7"/>
      <c r="L19" s="6" t="str">
        <f aca="false">IF(OR(K19="",H19="",I19="",J19=""),"",IF(J19="Higher is worse",IF(K19&gt;=I19,"Red",IF(K19&gt;H19,"Amber","Green")),IF(K19&lt;=I19,"Red",IF(K19&lt;H19,"Amber","Green"))))</f>
        <v/>
      </c>
      <c r="M19" s="7"/>
      <c r="N19" s="7"/>
    </row>
    <row r="20" customFormat="false" ht="15" hidden="false" customHeight="false" outlineLevel="0" collapsed="false">
      <c r="A20" s="7" t="s">
        <v>98</v>
      </c>
      <c r="B20" s="7" t="s">
        <v>95</v>
      </c>
      <c r="C20" s="7" t="s">
        <v>99</v>
      </c>
      <c r="D20" s="7" t="s">
        <v>100</v>
      </c>
      <c r="E20" s="7" t="s">
        <v>43</v>
      </c>
      <c r="F20" s="7" t="s">
        <v>70</v>
      </c>
      <c r="G20" s="7" t="s">
        <v>37</v>
      </c>
      <c r="H20" s="7" t="n">
        <v>5</v>
      </c>
      <c r="I20" s="7" t="n">
        <v>10</v>
      </c>
      <c r="J20" s="7" t="s">
        <v>38</v>
      </c>
      <c r="K20" s="7"/>
      <c r="L20" s="6" t="str">
        <f aca="false">IF(OR(K20="",H20="",I20="",J20=""),"",IF(J20="Higher is worse",IF(K20&gt;=I20,"Red",IF(K20&gt;H20,"Amber","Green")),IF(K20&lt;=I20,"Red",IF(K20&lt;H20,"Amber","Green"))))</f>
        <v/>
      </c>
      <c r="M20" s="7"/>
      <c r="N20" s="7"/>
    </row>
    <row r="21" customFormat="false" ht="23.85" hidden="false" customHeight="false" outlineLevel="0" collapsed="false">
      <c r="A21" s="7" t="s">
        <v>101</v>
      </c>
      <c r="B21" s="7" t="s">
        <v>102</v>
      </c>
      <c r="C21" s="7" t="s">
        <v>103</v>
      </c>
      <c r="D21" s="7" t="s">
        <v>104</v>
      </c>
      <c r="E21" s="7" t="s">
        <v>35</v>
      </c>
      <c r="F21" s="7" t="s">
        <v>36</v>
      </c>
      <c r="G21" s="7" t="s">
        <v>49</v>
      </c>
      <c r="H21" s="7" t="n">
        <v>1</v>
      </c>
      <c r="I21" s="7" t="n">
        <v>3</v>
      </c>
      <c r="J21" s="7" t="s">
        <v>38</v>
      </c>
      <c r="K21" s="7"/>
      <c r="L21" s="6" t="str">
        <f aca="false">IF(OR(K21="",H21="",I21="",J21=""),"",IF(J21="Higher is worse",IF(K21&gt;=I21,"Red",IF(K21&gt;H21,"Amber","Green")),IF(K21&lt;=I21,"Red",IF(K21&lt;H21,"Amber","Green"))))</f>
        <v/>
      </c>
      <c r="M21" s="7"/>
      <c r="N21" s="7"/>
    </row>
    <row r="22" customFormat="false" ht="15" hidden="false" customHeight="false" outlineLevel="0" collapsed="false">
      <c r="A22" s="7" t="s">
        <v>105</v>
      </c>
      <c r="B22" s="7" t="s">
        <v>106</v>
      </c>
      <c r="C22" s="7" t="s">
        <v>107</v>
      </c>
      <c r="D22" s="7" t="s">
        <v>108</v>
      </c>
      <c r="E22" s="7" t="s">
        <v>43</v>
      </c>
      <c r="F22" s="7" t="s">
        <v>70</v>
      </c>
      <c r="G22" s="7" t="s">
        <v>37</v>
      </c>
      <c r="H22" s="7" t="n">
        <v>10</v>
      </c>
      <c r="I22" s="7" t="n">
        <v>7</v>
      </c>
      <c r="J22" s="7" t="s">
        <v>71</v>
      </c>
      <c r="K22" s="7"/>
      <c r="L22" s="6" t="str">
        <f aca="false">IF(OR(K22="",H22="",I22="",J22=""),"",IF(J22="Higher is worse",IF(K22&gt;=I22,"Red",IF(K22&gt;H22,"Amber","Green")),IF(K22&lt;=I22,"Red",IF(K22&lt;H22,"Amber","Green"))))</f>
        <v/>
      </c>
      <c r="M22" s="7"/>
      <c r="N22" s="7" t="s">
        <v>109</v>
      </c>
    </row>
    <row r="23" customFormat="false" ht="23.85" hidden="false" customHeight="false" outlineLevel="0" collapsed="false">
      <c r="A23" s="7" t="s">
        <v>110</v>
      </c>
      <c r="B23" s="7" t="s">
        <v>111</v>
      </c>
      <c r="C23" s="7" t="s">
        <v>112</v>
      </c>
      <c r="D23" s="7" t="s">
        <v>113</v>
      </c>
      <c r="E23" s="7" t="s">
        <v>43</v>
      </c>
      <c r="F23" s="7" t="s">
        <v>36</v>
      </c>
      <c r="G23" s="7" t="s">
        <v>44</v>
      </c>
      <c r="H23" s="7" t="n">
        <v>5</v>
      </c>
      <c r="I23" s="7" t="n">
        <v>15</v>
      </c>
      <c r="J23" s="7" t="s">
        <v>38</v>
      </c>
      <c r="K23" s="7"/>
      <c r="L23" s="6" t="str">
        <f aca="false">IF(OR(K23="",H23="",I23="",J23=""),"",IF(J23="Higher is worse",IF(K23&gt;=I23,"Red",IF(K23&gt;H23,"Amber","Green")),IF(K23&lt;=I23,"Red",IF(K23&lt;H23,"Amber","Green"))))</f>
        <v/>
      </c>
      <c r="M23" s="7"/>
      <c r="N23" s="7"/>
    </row>
    <row r="24" customFormat="false" ht="15" hidden="false" customHeight="false" outlineLevel="0" collapsed="false">
      <c r="A24" s="7" t="s">
        <v>114</v>
      </c>
      <c r="B24" s="7" t="s">
        <v>115</v>
      </c>
      <c r="C24" s="7" t="s">
        <v>116</v>
      </c>
      <c r="D24" s="7" t="s">
        <v>117</v>
      </c>
      <c r="E24" s="7" t="s">
        <v>43</v>
      </c>
      <c r="F24" s="7" t="s">
        <v>36</v>
      </c>
      <c r="G24" s="7" t="s">
        <v>37</v>
      </c>
      <c r="H24" s="7" t="n">
        <v>0</v>
      </c>
      <c r="I24" s="7" t="n">
        <v>2</v>
      </c>
      <c r="J24" s="7" t="s">
        <v>38</v>
      </c>
      <c r="K24" s="7"/>
      <c r="L24" s="6" t="str">
        <f aca="false">IF(OR(K24="",H24="",I24="",J24=""),"",IF(J24="Higher is worse",IF(K24&gt;=I24,"Red",IF(K24&gt;H24,"Amber","Green")),IF(K24&lt;=I24,"Red",IF(K24&lt;H24,"Amber","Green"))))</f>
        <v/>
      </c>
      <c r="M24" s="7"/>
      <c r="N24" s="7"/>
    </row>
    <row r="25" customFormat="false" ht="15" hidden="false" customHeight="false" outlineLevel="0" collapsed="false">
      <c r="A25" s="5"/>
      <c r="B25" s="5"/>
      <c r="C25" s="5"/>
      <c r="D25" s="5"/>
      <c r="E25" s="5"/>
      <c r="F25" s="5"/>
      <c r="G25" s="5"/>
      <c r="H25" s="5"/>
      <c r="I25" s="5"/>
      <c r="J25" s="5"/>
      <c r="K25" s="5"/>
      <c r="L25" s="6" t="str">
        <f aca="false">IF(OR(K25="",H25="",I25="",J25=""),"",IF(J25="Higher is worse",IF(K25&gt;=I25,"Red",IF(K25&gt;H25,"Amber","Green")),IF(K25&lt;=I25,"Red",IF(K25&lt;H25,"Amber","Green"))))</f>
        <v/>
      </c>
      <c r="M25" s="5"/>
      <c r="N25" s="5"/>
    </row>
    <row r="26" customFormat="false" ht="15" hidden="false" customHeight="false" outlineLevel="0" collapsed="false">
      <c r="A26" s="5"/>
      <c r="B26" s="5"/>
      <c r="C26" s="5"/>
      <c r="D26" s="5"/>
      <c r="E26" s="5"/>
      <c r="F26" s="5"/>
      <c r="G26" s="5"/>
      <c r="H26" s="5"/>
      <c r="I26" s="5"/>
      <c r="J26" s="5"/>
      <c r="K26" s="5"/>
      <c r="L26" s="6" t="str">
        <f aca="false">IF(OR(K26="",H26="",I26="",J26=""),"",IF(J26="Higher is worse",IF(K26&gt;=I26,"Red",IF(K26&gt;H26,"Amber","Green")),IF(K26&lt;=I26,"Red",IF(K26&lt;H26,"Amber","Green"))))</f>
        <v/>
      </c>
      <c r="M26" s="5"/>
      <c r="N26" s="5"/>
    </row>
    <row r="27" customFormat="false" ht="15" hidden="false" customHeight="false" outlineLevel="0" collapsed="false">
      <c r="A27" s="5"/>
      <c r="B27" s="5"/>
      <c r="C27" s="5"/>
      <c r="D27" s="5"/>
      <c r="E27" s="5"/>
      <c r="F27" s="5"/>
      <c r="G27" s="5"/>
      <c r="H27" s="5"/>
      <c r="I27" s="5"/>
      <c r="J27" s="5"/>
      <c r="K27" s="5"/>
      <c r="L27" s="6" t="str">
        <f aca="false">IF(OR(K27="",H27="",I27="",J27=""),"",IF(J27="Higher is worse",IF(K27&gt;=I27,"Red",IF(K27&gt;H27,"Amber","Green")),IF(K27&lt;=I27,"Red",IF(K27&lt;H27,"Amber","Green"))))</f>
        <v/>
      </c>
      <c r="M27" s="5"/>
      <c r="N27" s="5"/>
    </row>
    <row r="28" customFormat="false" ht="15" hidden="false" customHeight="false" outlineLevel="0" collapsed="false">
      <c r="A28" s="5"/>
      <c r="B28" s="5"/>
      <c r="C28" s="5"/>
      <c r="D28" s="5"/>
      <c r="E28" s="5"/>
      <c r="F28" s="5"/>
      <c r="G28" s="5"/>
      <c r="H28" s="5"/>
      <c r="I28" s="5"/>
      <c r="J28" s="5"/>
      <c r="K28" s="5"/>
      <c r="L28" s="6" t="str">
        <f aca="false">IF(OR(K28="",H28="",I28="",J28=""),"",IF(J28="Higher is worse",IF(K28&gt;=I28,"Red",IF(K28&gt;H28,"Amber","Green")),IF(K28&lt;=I28,"Red",IF(K28&lt;H28,"Amber","Green"))))</f>
        <v/>
      </c>
      <c r="M28" s="5"/>
      <c r="N28" s="5"/>
    </row>
    <row r="29" customFormat="false" ht="15" hidden="false" customHeight="false" outlineLevel="0" collapsed="false">
      <c r="A29" s="5"/>
      <c r="B29" s="5"/>
      <c r="C29" s="5"/>
      <c r="D29" s="5"/>
      <c r="E29" s="5"/>
      <c r="F29" s="5"/>
      <c r="G29" s="5"/>
      <c r="H29" s="5"/>
      <c r="I29" s="5"/>
      <c r="J29" s="5"/>
      <c r="K29" s="5"/>
      <c r="L29" s="6" t="str">
        <f aca="false">IF(OR(K29="",H29="",I29="",J29=""),"",IF(J29="Higher is worse",IF(K29&gt;=I29,"Red",IF(K29&gt;H29,"Amber","Green")),IF(K29&lt;=I29,"Red",IF(K29&lt;H29,"Amber","Green"))))</f>
        <v/>
      </c>
      <c r="M29" s="5"/>
      <c r="N29" s="5"/>
    </row>
    <row r="30" customFormat="false" ht="15" hidden="false" customHeight="false" outlineLevel="0" collapsed="false">
      <c r="A30" s="5"/>
      <c r="B30" s="5"/>
      <c r="C30" s="5"/>
      <c r="D30" s="5"/>
      <c r="E30" s="5"/>
      <c r="F30" s="5"/>
      <c r="G30" s="5"/>
      <c r="H30" s="5"/>
      <c r="I30" s="5"/>
      <c r="J30" s="5"/>
      <c r="K30" s="5"/>
      <c r="L30" s="6" t="str">
        <f aca="false">IF(OR(K30="",H30="",I30="",J30=""),"",IF(J30="Higher is worse",IF(K30&gt;=I30,"Red",IF(K30&gt;H30,"Amber","Green")),IF(K30&lt;=I30,"Red",IF(K30&lt;H30,"Amber","Green"))))</f>
        <v/>
      </c>
      <c r="M30" s="5"/>
      <c r="N30" s="5"/>
    </row>
    <row r="31" customFormat="false" ht="15" hidden="false" customHeight="false" outlineLevel="0" collapsed="false">
      <c r="A31" s="5"/>
      <c r="B31" s="5"/>
      <c r="C31" s="5"/>
      <c r="D31" s="5"/>
      <c r="E31" s="5"/>
      <c r="F31" s="5"/>
      <c r="G31" s="5"/>
      <c r="H31" s="5"/>
      <c r="I31" s="5"/>
      <c r="J31" s="5"/>
      <c r="K31" s="5"/>
      <c r="L31" s="6" t="str">
        <f aca="false">IF(OR(K31="",H31="",I31="",J31=""),"",IF(J31="Higher is worse",IF(K31&gt;=I31,"Red",IF(K31&gt;H31,"Amber","Green")),IF(K31&lt;=I31,"Red",IF(K31&lt;H31,"Amber","Green"))))</f>
        <v/>
      </c>
      <c r="M31" s="5"/>
      <c r="N31" s="5"/>
    </row>
    <row r="32" customFormat="false" ht="15" hidden="false" customHeight="false" outlineLevel="0" collapsed="false">
      <c r="A32" s="5"/>
      <c r="B32" s="5"/>
      <c r="C32" s="5"/>
      <c r="D32" s="5"/>
      <c r="E32" s="5"/>
      <c r="F32" s="5"/>
      <c r="G32" s="5"/>
      <c r="H32" s="5"/>
      <c r="I32" s="5"/>
      <c r="J32" s="5"/>
      <c r="K32" s="5"/>
      <c r="L32" s="6" t="str">
        <f aca="false">IF(OR(K32="",H32="",I32="",J32=""),"",IF(J32="Higher is worse",IF(K32&gt;=I32,"Red",IF(K32&gt;H32,"Amber","Green")),IF(K32&lt;=I32,"Red",IF(K32&lt;H32,"Amber","Green"))))</f>
        <v/>
      </c>
      <c r="M32" s="5"/>
      <c r="N32" s="5"/>
    </row>
    <row r="33" customFormat="false" ht="15" hidden="false" customHeight="false" outlineLevel="0" collapsed="false">
      <c r="A33" s="5"/>
      <c r="B33" s="5"/>
      <c r="C33" s="5"/>
      <c r="D33" s="5"/>
      <c r="E33" s="5"/>
      <c r="F33" s="5"/>
      <c r="G33" s="5"/>
      <c r="H33" s="5"/>
      <c r="I33" s="5"/>
      <c r="J33" s="5"/>
      <c r="K33" s="5"/>
      <c r="L33" s="6" t="str">
        <f aca="false">IF(OR(K33="",H33="",I33="",J33=""),"",IF(J33="Higher is worse",IF(K33&gt;=I33,"Red",IF(K33&gt;H33,"Amber","Green")),IF(K33&lt;=I33,"Red",IF(K33&lt;H33,"Amber","Green"))))</f>
        <v/>
      </c>
      <c r="M33" s="5"/>
      <c r="N33" s="5"/>
    </row>
    <row r="34" customFormat="false" ht="15" hidden="false" customHeight="false" outlineLevel="0" collapsed="false">
      <c r="A34" s="5"/>
      <c r="B34" s="5"/>
      <c r="C34" s="5"/>
      <c r="D34" s="5"/>
      <c r="E34" s="5"/>
      <c r="F34" s="5"/>
      <c r="G34" s="5"/>
      <c r="H34" s="5"/>
      <c r="I34" s="5"/>
      <c r="J34" s="5"/>
      <c r="K34" s="5"/>
      <c r="L34" s="6" t="str">
        <f aca="false">IF(OR(K34="",H34="",I34="",J34=""),"",IF(J34="Higher is worse",IF(K34&gt;=I34,"Red",IF(K34&gt;H34,"Amber","Green")),IF(K34&lt;=I34,"Red",IF(K34&lt;H34,"Amber","Green"))))</f>
        <v/>
      </c>
      <c r="M34" s="5"/>
      <c r="N34" s="5"/>
    </row>
    <row r="35" customFormat="false" ht="15" hidden="false" customHeight="false" outlineLevel="0" collapsed="false">
      <c r="A35" s="5"/>
      <c r="B35" s="5"/>
      <c r="C35" s="5"/>
      <c r="D35" s="5"/>
      <c r="E35" s="5"/>
      <c r="F35" s="5"/>
      <c r="G35" s="5"/>
      <c r="H35" s="5"/>
      <c r="I35" s="5"/>
      <c r="J35" s="5"/>
      <c r="K35" s="5"/>
      <c r="L35" s="6" t="str">
        <f aca="false">IF(OR(K35="",H35="",I35="",J35=""),"",IF(J35="Higher is worse",IF(K35&gt;=I35,"Red",IF(K35&gt;H35,"Amber","Green")),IF(K35&lt;=I35,"Red",IF(K35&lt;H35,"Amber","Green"))))</f>
        <v/>
      </c>
      <c r="M35" s="5"/>
      <c r="N35" s="5"/>
    </row>
    <row r="36" customFormat="false" ht="15" hidden="false" customHeight="false" outlineLevel="0" collapsed="false">
      <c r="A36" s="5"/>
      <c r="B36" s="5"/>
      <c r="C36" s="5"/>
      <c r="D36" s="5"/>
      <c r="E36" s="5"/>
      <c r="F36" s="5"/>
      <c r="G36" s="5"/>
      <c r="H36" s="5"/>
      <c r="I36" s="5"/>
      <c r="J36" s="5"/>
      <c r="K36" s="5"/>
      <c r="L36" s="6" t="str">
        <f aca="false">IF(OR(K36="",H36="",I36="",J36=""),"",IF(J36="Higher is worse",IF(K36&gt;=I36,"Red",IF(K36&gt;H36,"Amber","Green")),IF(K36&lt;=I36,"Red",IF(K36&lt;H36,"Amber","Green"))))</f>
        <v/>
      </c>
      <c r="M36" s="5"/>
      <c r="N36" s="5"/>
    </row>
    <row r="37" customFormat="false" ht="15" hidden="false" customHeight="false" outlineLevel="0" collapsed="false">
      <c r="A37" s="5"/>
      <c r="B37" s="5"/>
      <c r="C37" s="5"/>
      <c r="D37" s="5"/>
      <c r="E37" s="5"/>
      <c r="F37" s="5"/>
      <c r="G37" s="5"/>
      <c r="H37" s="5"/>
      <c r="I37" s="5"/>
      <c r="J37" s="5"/>
      <c r="K37" s="5"/>
      <c r="L37" s="6" t="str">
        <f aca="false">IF(OR(K37="",H37="",I37="",J37=""),"",IF(J37="Higher is worse",IF(K37&gt;=I37,"Red",IF(K37&gt;H37,"Amber","Green")),IF(K37&lt;=I37,"Red",IF(K37&lt;H37,"Amber","Green"))))</f>
        <v/>
      </c>
      <c r="M37" s="5"/>
      <c r="N37" s="5"/>
    </row>
    <row r="38" customFormat="false" ht="15" hidden="false" customHeight="false" outlineLevel="0" collapsed="false">
      <c r="A38" s="5"/>
      <c r="B38" s="5"/>
      <c r="C38" s="5"/>
      <c r="D38" s="5"/>
      <c r="E38" s="5"/>
      <c r="F38" s="5"/>
      <c r="G38" s="5"/>
      <c r="H38" s="5"/>
      <c r="I38" s="5"/>
      <c r="J38" s="5"/>
      <c r="K38" s="5"/>
      <c r="L38" s="6" t="str">
        <f aca="false">IF(OR(K38="",H38="",I38="",J38=""),"",IF(J38="Higher is worse",IF(K38&gt;=I38,"Red",IF(K38&gt;H38,"Amber","Green")),IF(K38&lt;=I38,"Red",IF(K38&lt;H38,"Amber","Green"))))</f>
        <v/>
      </c>
      <c r="M38" s="5"/>
      <c r="N38" s="5"/>
    </row>
    <row r="39" customFormat="false" ht="15" hidden="false" customHeight="false" outlineLevel="0" collapsed="false">
      <c r="A39" s="5"/>
      <c r="B39" s="5"/>
      <c r="C39" s="5"/>
      <c r="D39" s="5"/>
      <c r="E39" s="5"/>
      <c r="F39" s="5"/>
      <c r="G39" s="5"/>
      <c r="H39" s="5"/>
      <c r="I39" s="5"/>
      <c r="J39" s="5"/>
      <c r="K39" s="5"/>
      <c r="L39" s="6" t="str">
        <f aca="false">IF(OR(K39="",H39="",I39="",J39=""),"",IF(J39="Higher is worse",IF(K39&gt;=I39,"Red",IF(K39&gt;H39,"Amber","Green")),IF(K39&lt;=I39,"Red",IF(K39&lt;H39,"Amber","Green"))))</f>
        <v/>
      </c>
      <c r="M39" s="5"/>
      <c r="N39" s="5"/>
    </row>
    <row r="40" customFormat="false" ht="15" hidden="false" customHeight="false" outlineLevel="0" collapsed="false">
      <c r="A40" s="5"/>
      <c r="B40" s="5"/>
      <c r="C40" s="5"/>
      <c r="D40" s="5"/>
      <c r="E40" s="5"/>
      <c r="F40" s="5"/>
      <c r="G40" s="5"/>
      <c r="H40" s="5"/>
      <c r="I40" s="5"/>
      <c r="J40" s="5"/>
      <c r="K40" s="5"/>
      <c r="L40" s="6" t="str">
        <f aca="false">IF(OR(K40="",H40="",I40="",J40=""),"",IF(J40="Higher is worse",IF(K40&gt;=I40,"Red",IF(K40&gt;H40,"Amber","Green")),IF(K40&lt;=I40,"Red",IF(K40&lt;H40,"Amber","Green"))))</f>
        <v/>
      </c>
      <c r="M40" s="5"/>
      <c r="N40" s="5"/>
    </row>
    <row r="41" customFormat="false" ht="15" hidden="false" customHeight="false" outlineLevel="0" collapsed="false">
      <c r="A41" s="5"/>
      <c r="B41" s="5"/>
      <c r="C41" s="5"/>
      <c r="D41" s="5"/>
      <c r="E41" s="5"/>
      <c r="F41" s="5"/>
      <c r="G41" s="5"/>
      <c r="H41" s="5"/>
      <c r="I41" s="5"/>
      <c r="J41" s="5"/>
      <c r="K41" s="5"/>
      <c r="L41" s="6" t="str">
        <f aca="false">IF(OR(K41="",H41="",I41="",J41=""),"",IF(J41="Higher is worse",IF(K41&gt;=I41,"Red",IF(K41&gt;H41,"Amber","Green")),IF(K41&lt;=I41,"Red",IF(K41&lt;H41,"Amber","Green"))))</f>
        <v/>
      </c>
      <c r="M41" s="5"/>
      <c r="N41" s="5"/>
    </row>
    <row r="42" customFormat="false" ht="15" hidden="false" customHeight="false" outlineLevel="0" collapsed="false">
      <c r="A42" s="5"/>
      <c r="B42" s="5"/>
      <c r="C42" s="5"/>
      <c r="D42" s="5"/>
      <c r="E42" s="5"/>
      <c r="F42" s="5"/>
      <c r="G42" s="5"/>
      <c r="H42" s="5"/>
      <c r="I42" s="5"/>
      <c r="J42" s="5"/>
      <c r="K42" s="5"/>
      <c r="L42" s="6" t="str">
        <f aca="false">IF(OR(K42="",H42="",I42="",J42=""),"",IF(J42="Higher is worse",IF(K42&gt;=I42,"Red",IF(K42&gt;H42,"Amber","Green")),IF(K42&lt;=I42,"Red",IF(K42&lt;H42,"Amber","Green"))))</f>
        <v/>
      </c>
      <c r="M42" s="5"/>
      <c r="N42" s="5"/>
    </row>
    <row r="43" customFormat="false" ht="15" hidden="false" customHeight="false" outlineLevel="0" collapsed="false">
      <c r="A43" s="5"/>
      <c r="B43" s="5"/>
      <c r="C43" s="5"/>
      <c r="D43" s="5"/>
      <c r="E43" s="5"/>
      <c r="F43" s="5"/>
      <c r="G43" s="5"/>
      <c r="H43" s="5"/>
      <c r="I43" s="5"/>
      <c r="J43" s="5"/>
      <c r="K43" s="5"/>
      <c r="L43" s="6" t="str">
        <f aca="false">IF(OR(K43="",H43="",I43="",J43=""),"",IF(J43="Higher is worse",IF(K43&gt;=I43,"Red",IF(K43&gt;H43,"Amber","Green")),IF(K43&lt;=I43,"Red",IF(K43&lt;H43,"Amber","Green"))))</f>
        <v/>
      </c>
      <c r="M43" s="5"/>
      <c r="N43" s="5"/>
    </row>
    <row r="44" customFormat="false" ht="15" hidden="false" customHeight="false" outlineLevel="0" collapsed="false">
      <c r="A44" s="5"/>
      <c r="B44" s="5"/>
      <c r="C44" s="5"/>
      <c r="D44" s="5"/>
      <c r="E44" s="5"/>
      <c r="F44" s="5"/>
      <c r="G44" s="5"/>
      <c r="H44" s="5"/>
      <c r="I44" s="5"/>
      <c r="J44" s="5"/>
      <c r="K44" s="5"/>
      <c r="L44" s="6" t="str">
        <f aca="false">IF(OR(K44="",H44="",I44="",J44=""),"",IF(J44="Higher is worse",IF(K44&gt;=I44,"Red",IF(K44&gt;H44,"Amber","Green")),IF(K44&lt;=I44,"Red",IF(K44&lt;H44,"Amber","Green"))))</f>
        <v/>
      </c>
      <c r="M44" s="5"/>
      <c r="N44" s="5"/>
    </row>
    <row r="45" customFormat="false" ht="15" hidden="false" customHeight="false" outlineLevel="0" collapsed="false">
      <c r="A45" s="5"/>
      <c r="B45" s="5"/>
      <c r="C45" s="5"/>
      <c r="D45" s="5"/>
      <c r="E45" s="5"/>
      <c r="F45" s="5"/>
      <c r="G45" s="5"/>
      <c r="H45" s="5"/>
      <c r="I45" s="5"/>
      <c r="J45" s="5"/>
      <c r="K45" s="5"/>
      <c r="L45" s="6" t="str">
        <f aca="false">IF(OR(K45="",H45="",I45="",J45=""),"",IF(J45="Higher is worse",IF(K45&gt;=I45,"Red",IF(K45&gt;H45,"Amber","Green")),IF(K45&lt;=I45,"Red",IF(K45&lt;H45,"Amber","Green"))))</f>
        <v/>
      </c>
      <c r="M45" s="5"/>
      <c r="N45" s="5"/>
    </row>
    <row r="46" customFormat="false" ht="15" hidden="false" customHeight="false" outlineLevel="0" collapsed="false">
      <c r="A46" s="5"/>
      <c r="B46" s="5"/>
      <c r="C46" s="5"/>
      <c r="D46" s="5"/>
      <c r="E46" s="5"/>
      <c r="F46" s="5"/>
      <c r="G46" s="5"/>
      <c r="H46" s="5"/>
      <c r="I46" s="5"/>
      <c r="J46" s="5"/>
      <c r="K46" s="5"/>
      <c r="L46" s="6" t="str">
        <f aca="false">IF(OR(K46="",H46="",I46="",J46=""),"",IF(J46="Higher is worse",IF(K46&gt;=I46,"Red",IF(K46&gt;H46,"Amber","Green")),IF(K46&lt;=I46,"Red",IF(K46&lt;H46,"Amber","Green"))))</f>
        <v/>
      </c>
      <c r="M46" s="5"/>
      <c r="N46" s="5"/>
    </row>
    <row r="47" customFormat="false" ht="15" hidden="false" customHeight="false" outlineLevel="0" collapsed="false">
      <c r="A47" s="5"/>
      <c r="B47" s="5"/>
      <c r="C47" s="5"/>
      <c r="D47" s="5"/>
      <c r="E47" s="5"/>
      <c r="F47" s="5"/>
      <c r="G47" s="5"/>
      <c r="H47" s="5"/>
      <c r="I47" s="5"/>
      <c r="J47" s="5"/>
      <c r="K47" s="5"/>
      <c r="L47" s="6" t="str">
        <f aca="false">IF(OR(K47="",H47="",I47="",J47=""),"",IF(J47="Higher is worse",IF(K47&gt;=I47,"Red",IF(K47&gt;H47,"Amber","Green")),IF(K47&lt;=I47,"Red",IF(K47&lt;H47,"Amber","Green"))))</f>
        <v/>
      </c>
      <c r="M47" s="5"/>
      <c r="N47" s="5"/>
    </row>
    <row r="48" customFormat="false" ht="15" hidden="false" customHeight="false" outlineLevel="0" collapsed="false">
      <c r="A48" s="5"/>
      <c r="B48" s="5"/>
      <c r="C48" s="5"/>
      <c r="D48" s="5"/>
      <c r="E48" s="5"/>
      <c r="F48" s="5"/>
      <c r="G48" s="5"/>
      <c r="H48" s="5"/>
      <c r="I48" s="5"/>
      <c r="J48" s="5"/>
      <c r="K48" s="5"/>
      <c r="L48" s="6" t="str">
        <f aca="false">IF(OR(K48="",H48="",I48="",J48=""),"",IF(J48="Higher is worse",IF(K48&gt;=I48,"Red",IF(K48&gt;H48,"Amber","Green")),IF(K48&lt;=I48,"Red",IF(K48&lt;H48,"Amber","Green"))))</f>
        <v/>
      </c>
      <c r="M48" s="5"/>
      <c r="N48" s="5"/>
    </row>
    <row r="49" customFormat="false" ht="15" hidden="false" customHeight="false" outlineLevel="0" collapsed="false">
      <c r="A49" s="5"/>
      <c r="B49" s="5"/>
      <c r="C49" s="5"/>
      <c r="D49" s="5"/>
      <c r="E49" s="5"/>
      <c r="F49" s="5"/>
      <c r="G49" s="5"/>
      <c r="H49" s="5"/>
      <c r="I49" s="5"/>
      <c r="J49" s="5"/>
      <c r="K49" s="5"/>
      <c r="L49" s="6" t="str">
        <f aca="false">IF(OR(K49="",H49="",I49="",J49=""),"",IF(J49="Higher is worse",IF(K49&gt;=I49,"Red",IF(K49&gt;H49,"Amber","Green")),IF(K49&lt;=I49,"Red",IF(K49&lt;H49,"Amber","Green"))))</f>
        <v/>
      </c>
      <c r="M49" s="5"/>
      <c r="N49" s="5"/>
    </row>
    <row r="50" customFormat="false" ht="15" hidden="false" customHeight="false" outlineLevel="0" collapsed="false">
      <c r="A50" s="5"/>
      <c r="B50" s="5"/>
      <c r="C50" s="5"/>
      <c r="D50" s="5"/>
      <c r="E50" s="5"/>
      <c r="F50" s="5"/>
      <c r="G50" s="5"/>
      <c r="H50" s="5"/>
      <c r="I50" s="5"/>
      <c r="J50" s="5"/>
      <c r="K50" s="5"/>
      <c r="L50" s="6" t="str">
        <f aca="false">IF(OR(K50="",H50="",I50="",J50=""),"",IF(J50="Higher is worse",IF(K50&gt;=I50,"Red",IF(K50&gt;H50,"Amber","Green")),IF(K50&lt;=I50,"Red",IF(K50&lt;H50,"Amber","Green"))))</f>
        <v/>
      </c>
      <c r="M50" s="5"/>
      <c r="N50" s="5"/>
    </row>
    <row r="51" customFormat="false" ht="15" hidden="false" customHeight="false" outlineLevel="0" collapsed="false">
      <c r="A51" s="5"/>
      <c r="B51" s="5"/>
      <c r="C51" s="5"/>
      <c r="D51" s="5"/>
      <c r="E51" s="5"/>
      <c r="F51" s="5"/>
      <c r="G51" s="5"/>
      <c r="H51" s="5"/>
      <c r="I51" s="5"/>
      <c r="J51" s="5"/>
      <c r="K51" s="5"/>
      <c r="L51" s="6" t="str">
        <f aca="false">IF(OR(K51="",H51="",I51="",J51=""),"",IF(J51="Higher is worse",IF(K51&gt;=I51,"Red",IF(K51&gt;H51,"Amber","Green")),IF(K51&lt;=I51,"Red",IF(K51&lt;H51,"Amber","Green"))))</f>
        <v/>
      </c>
      <c r="M51" s="5"/>
      <c r="N51" s="5"/>
    </row>
    <row r="52" customFormat="false" ht="15" hidden="false" customHeight="false" outlineLevel="0" collapsed="false">
      <c r="A52" s="5"/>
      <c r="B52" s="5"/>
      <c r="C52" s="5"/>
      <c r="D52" s="5"/>
      <c r="E52" s="5"/>
      <c r="F52" s="5"/>
      <c r="G52" s="5"/>
      <c r="H52" s="5"/>
      <c r="I52" s="5"/>
      <c r="J52" s="5"/>
      <c r="K52" s="5"/>
      <c r="L52" s="6" t="str">
        <f aca="false">IF(OR(K52="",H52="",I52="",J52=""),"",IF(J52="Higher is worse",IF(K52&gt;=I52,"Red",IF(K52&gt;H52,"Amber","Green")),IF(K52&lt;=I52,"Red",IF(K52&lt;H52,"Amber","Green"))))</f>
        <v/>
      </c>
      <c r="M52" s="5"/>
      <c r="N52" s="5"/>
    </row>
    <row r="53" customFormat="false" ht="15" hidden="false" customHeight="false" outlineLevel="0" collapsed="false">
      <c r="A53" s="5"/>
      <c r="B53" s="5"/>
      <c r="C53" s="5"/>
      <c r="D53" s="5"/>
      <c r="E53" s="5"/>
      <c r="F53" s="5"/>
      <c r="G53" s="5"/>
      <c r="H53" s="5"/>
      <c r="I53" s="5"/>
      <c r="J53" s="5"/>
      <c r="K53" s="5"/>
      <c r="L53" s="6" t="str">
        <f aca="false">IF(OR(K53="",H53="",I53="",J53=""),"",IF(J53="Higher is worse",IF(K53&gt;=I53,"Red",IF(K53&gt;H53,"Amber","Green")),IF(K53&lt;=I53,"Red",IF(K53&lt;H53,"Amber","Green"))))</f>
        <v/>
      </c>
      <c r="M53" s="5"/>
      <c r="N53" s="5"/>
    </row>
    <row r="54" customFormat="false" ht="15" hidden="false" customHeight="false" outlineLevel="0" collapsed="false">
      <c r="A54" s="5"/>
      <c r="B54" s="5"/>
      <c r="C54" s="5"/>
      <c r="D54" s="5"/>
      <c r="E54" s="5"/>
      <c r="F54" s="5"/>
      <c r="G54" s="5"/>
      <c r="H54" s="5"/>
      <c r="I54" s="5"/>
      <c r="J54" s="5"/>
      <c r="K54" s="5"/>
      <c r="L54" s="6" t="str">
        <f aca="false">IF(OR(K54="",H54="",I54="",J54=""),"",IF(J54="Higher is worse",IF(K54&gt;=I54,"Red",IF(K54&gt;H54,"Amber","Green")),IF(K54&lt;=I54,"Red",IF(K54&lt;H54,"Amber","Green"))))</f>
        <v/>
      </c>
      <c r="M54" s="5"/>
      <c r="N54" s="5"/>
    </row>
    <row r="55" customFormat="false" ht="15" hidden="false" customHeight="false" outlineLevel="0" collapsed="false">
      <c r="A55" s="5"/>
      <c r="B55" s="5"/>
      <c r="C55" s="5"/>
      <c r="D55" s="5"/>
      <c r="E55" s="5"/>
      <c r="F55" s="5"/>
      <c r="G55" s="5"/>
      <c r="H55" s="5"/>
      <c r="I55" s="5"/>
      <c r="J55" s="5"/>
      <c r="K55" s="5"/>
      <c r="L55" s="6" t="str">
        <f aca="false">IF(OR(K55="",H55="",I55="",J55=""),"",IF(J55="Higher is worse",IF(K55&gt;=I55,"Red",IF(K55&gt;H55,"Amber","Green")),IF(K55&lt;=I55,"Red",IF(K55&lt;H55,"Amber","Green"))))</f>
        <v/>
      </c>
      <c r="M55" s="5"/>
      <c r="N55" s="5"/>
    </row>
    <row r="56" customFormat="false" ht="15" hidden="false" customHeight="false" outlineLevel="0" collapsed="false">
      <c r="A56" s="5"/>
      <c r="B56" s="5"/>
      <c r="C56" s="5"/>
      <c r="D56" s="5"/>
      <c r="E56" s="5"/>
      <c r="F56" s="5"/>
      <c r="G56" s="5"/>
      <c r="H56" s="5"/>
      <c r="I56" s="5"/>
      <c r="J56" s="5"/>
      <c r="K56" s="5"/>
      <c r="L56" s="6" t="str">
        <f aca="false">IF(OR(K56="",H56="",I56="",J56=""),"",IF(J56="Higher is worse",IF(K56&gt;=I56,"Red",IF(K56&gt;H56,"Amber","Green")),IF(K56&lt;=I56,"Red",IF(K56&lt;H56,"Amber","Green"))))</f>
        <v/>
      </c>
      <c r="M56" s="5"/>
      <c r="N56" s="5"/>
    </row>
    <row r="57" customFormat="false" ht="15" hidden="false" customHeight="false" outlineLevel="0" collapsed="false">
      <c r="A57" s="5"/>
      <c r="B57" s="5"/>
      <c r="C57" s="5"/>
      <c r="D57" s="5"/>
      <c r="E57" s="5"/>
      <c r="F57" s="5"/>
      <c r="G57" s="5"/>
      <c r="H57" s="5"/>
      <c r="I57" s="5"/>
      <c r="J57" s="5"/>
      <c r="K57" s="5"/>
      <c r="L57" s="6" t="str">
        <f aca="false">IF(OR(K57="",H57="",I57="",J57=""),"",IF(J57="Higher is worse",IF(K57&gt;=I57,"Red",IF(K57&gt;H57,"Amber","Green")),IF(K57&lt;=I57,"Red",IF(K57&lt;H57,"Amber","Green"))))</f>
        <v/>
      </c>
      <c r="M57" s="5"/>
      <c r="N57" s="5"/>
    </row>
    <row r="58" customFormat="false" ht="15" hidden="false" customHeight="false" outlineLevel="0" collapsed="false">
      <c r="A58" s="5"/>
      <c r="B58" s="5"/>
      <c r="C58" s="5"/>
      <c r="D58" s="5"/>
      <c r="E58" s="5"/>
      <c r="F58" s="5"/>
      <c r="G58" s="5"/>
      <c r="H58" s="5"/>
      <c r="I58" s="5"/>
      <c r="J58" s="5"/>
      <c r="K58" s="5"/>
      <c r="L58" s="6" t="str">
        <f aca="false">IF(OR(K58="",H58="",I58="",J58=""),"",IF(J58="Higher is worse",IF(K58&gt;=I58,"Red",IF(K58&gt;H58,"Amber","Green")),IF(K58&lt;=I58,"Red",IF(K58&lt;H58,"Amber","Green"))))</f>
        <v/>
      </c>
      <c r="M58" s="5"/>
      <c r="N58" s="5"/>
    </row>
    <row r="59" customFormat="false" ht="15" hidden="false" customHeight="false" outlineLevel="0" collapsed="false">
      <c r="A59" s="5"/>
      <c r="B59" s="5"/>
      <c r="C59" s="5"/>
      <c r="D59" s="5"/>
      <c r="E59" s="5"/>
      <c r="F59" s="5"/>
      <c r="G59" s="5"/>
      <c r="H59" s="5"/>
      <c r="I59" s="5"/>
      <c r="J59" s="5"/>
      <c r="K59" s="5"/>
      <c r="L59" s="6" t="str">
        <f aca="false">IF(OR(K59="",H59="",I59="",J59=""),"",IF(J59="Higher is worse",IF(K59&gt;=I59,"Red",IF(K59&gt;H59,"Amber","Green")),IF(K59&lt;=I59,"Red",IF(K59&lt;H59,"Amber","Green"))))</f>
        <v/>
      </c>
      <c r="M59" s="5"/>
      <c r="N59" s="5"/>
    </row>
    <row r="60" customFormat="false" ht="15" hidden="false" customHeight="false" outlineLevel="0" collapsed="false">
      <c r="A60" s="5"/>
      <c r="B60" s="5"/>
      <c r="C60" s="5"/>
      <c r="D60" s="5"/>
      <c r="E60" s="5"/>
      <c r="F60" s="5"/>
      <c r="G60" s="5"/>
      <c r="H60" s="5"/>
      <c r="I60" s="5"/>
      <c r="J60" s="5"/>
      <c r="K60" s="5"/>
      <c r="L60" s="6" t="str">
        <f aca="false">IF(OR(K60="",H60="",I60="",J60=""),"",IF(J60="Higher is worse",IF(K60&gt;=I60,"Red",IF(K60&gt;H60,"Amber","Green")),IF(K60&lt;=I60,"Red",IF(K60&lt;H60,"Amber","Green"))))</f>
        <v/>
      </c>
      <c r="M60" s="5"/>
      <c r="N60" s="5"/>
    </row>
    <row r="61" customFormat="false" ht="15" hidden="false" customHeight="false" outlineLevel="0" collapsed="false">
      <c r="A61" s="5"/>
      <c r="B61" s="5"/>
      <c r="C61" s="5"/>
      <c r="D61" s="5"/>
      <c r="E61" s="5"/>
      <c r="F61" s="5"/>
      <c r="G61" s="5"/>
      <c r="H61" s="5"/>
      <c r="I61" s="5"/>
      <c r="J61" s="5"/>
      <c r="K61" s="5"/>
      <c r="L61" s="6" t="str">
        <f aca="false">IF(OR(K61="",H61="",I61="",J61=""),"",IF(J61="Higher is worse",IF(K61&gt;=I61,"Red",IF(K61&gt;H61,"Amber","Green")),IF(K61&lt;=I61,"Red",IF(K61&lt;H61,"Amber","Green"))))</f>
        <v/>
      </c>
      <c r="M61" s="5"/>
      <c r="N61" s="5"/>
    </row>
    <row r="62" customFormat="false" ht="15" hidden="false" customHeight="false" outlineLevel="0" collapsed="false">
      <c r="A62" s="5"/>
      <c r="B62" s="5"/>
      <c r="C62" s="5"/>
      <c r="D62" s="5"/>
      <c r="E62" s="5"/>
      <c r="F62" s="5"/>
      <c r="G62" s="5"/>
      <c r="H62" s="5"/>
      <c r="I62" s="5"/>
      <c r="J62" s="5"/>
      <c r="K62" s="5"/>
      <c r="L62" s="6" t="str">
        <f aca="false">IF(OR(K62="",H62="",I62="",J62=""),"",IF(J62="Higher is worse",IF(K62&gt;=I62,"Red",IF(K62&gt;H62,"Amber","Green")),IF(K62&lt;=I62,"Red",IF(K62&lt;H62,"Amber","Green"))))</f>
        <v/>
      </c>
      <c r="M62" s="5"/>
      <c r="N62" s="5"/>
    </row>
    <row r="63" customFormat="false" ht="15" hidden="false" customHeight="false" outlineLevel="0" collapsed="false">
      <c r="A63" s="5"/>
      <c r="B63" s="5"/>
      <c r="C63" s="5"/>
      <c r="D63" s="5"/>
      <c r="E63" s="5"/>
      <c r="F63" s="5"/>
      <c r="G63" s="5"/>
      <c r="H63" s="5"/>
      <c r="I63" s="5"/>
      <c r="J63" s="5"/>
      <c r="K63" s="5"/>
      <c r="L63" s="6" t="str">
        <f aca="false">IF(OR(K63="",H63="",I63="",J63=""),"",IF(J63="Higher is worse",IF(K63&gt;=I63,"Red",IF(K63&gt;H63,"Amber","Green")),IF(K63&lt;=I63,"Red",IF(K63&lt;H63,"Amber","Green"))))</f>
        <v/>
      </c>
      <c r="M63" s="5"/>
      <c r="N63" s="5"/>
    </row>
    <row r="64" customFormat="false" ht="15" hidden="false" customHeight="false" outlineLevel="0" collapsed="false">
      <c r="A64" s="5"/>
      <c r="B64" s="5"/>
      <c r="C64" s="5"/>
      <c r="D64" s="5"/>
      <c r="E64" s="5"/>
      <c r="F64" s="5"/>
      <c r="G64" s="5"/>
      <c r="H64" s="5"/>
      <c r="I64" s="5"/>
      <c r="J64" s="5"/>
      <c r="K64" s="5"/>
      <c r="L64" s="6" t="str">
        <f aca="false">IF(OR(K64="",H64="",I64="",J64=""),"",IF(J64="Higher is worse",IF(K64&gt;=I64,"Red",IF(K64&gt;H64,"Amber","Green")),IF(K64&lt;=I64,"Red",IF(K64&lt;H64,"Amber","Green"))))</f>
        <v/>
      </c>
      <c r="M64" s="5"/>
      <c r="N64" s="5"/>
    </row>
  </sheetData>
  <autoFilter ref="A4:N64"/>
  <conditionalFormatting sqref="L5:L64">
    <cfRule type="expression" priority="2" aboveAverage="0" equalAverage="0" bottom="0" percent="0" rank="0" text="" dxfId="9">
      <formula>L5="Green"</formula>
    </cfRule>
    <cfRule type="expression" priority="3" aboveAverage="0" equalAverage="0" bottom="0" percent="0" rank="0" text="" dxfId="10">
      <formula>L5="Amber"</formula>
    </cfRule>
    <cfRule type="expression" priority="4" aboveAverage="0" equalAverage="0" bottom="0" percent="0" rank="0" text="" dxfId="11">
      <formula>L5="Red"</formula>
    </cfRule>
    <cfRule type="expression" priority="5" aboveAverage="0" equalAverage="0" bottom="0" percent="0" rank="0" text="" dxfId="11">
      <formula>L5="OVERDUE"</formula>
    </cfRule>
    <cfRule type="expression" priority="6" aboveAverage="0" equalAverage="0" bottom="0" percent="0" rank="0" text="" dxfId="10">
      <formula>L5="Due soon"</formula>
    </cfRule>
  </conditionalFormatting>
  <dataValidations count="4">
    <dataValidation allowBlank="true" error="Please choose a value from the drop-down list." errorStyle="stop" operator="between" showDropDown="false" showErrorMessage="true" showInputMessage="false" sqref="B5:B64" type="list">
      <formula1>Lists!$A$5:$A$15</formula1>
      <formula2>0</formula2>
    </dataValidation>
    <dataValidation allowBlank="true" error="Please choose a value from the drop-down list." errorStyle="stop" operator="between" showDropDown="false" showErrorMessage="true" showInputMessage="false" sqref="E5:E64" type="list">
      <formula1>Lists!$B$5:$B$6</formula1>
      <formula2>0</formula2>
    </dataValidation>
    <dataValidation allowBlank="true" error="Please choose a value from the drop-down list." errorStyle="stop" operator="between" showDropDown="false" showErrorMessage="true" showInputMessage="false" sqref="G5:G64" type="list">
      <formula1>Lists!$C$5:$C$9</formula1>
      <formula2>0</formula2>
    </dataValidation>
    <dataValidation allowBlank="true" error="Please choose a value from the drop-down list." errorStyle="stop" operator="between" showDropDown="false" showErrorMessage="true" showInputMessage="false" sqref="J5:J64" type="list">
      <formula1>Lists!$D$5:$D$6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25.5" hidden="false" customHeight="true" outlineLevel="0" collapsed="false">
      <c r="A1" s="1" t="s">
        <v>118</v>
      </c>
    </row>
    <row r="2" customFormat="false" ht="15" hidden="false" customHeight="false" outlineLevel="0" collapsed="false">
      <c r="A2" s="2" t="s">
        <v>119</v>
      </c>
    </row>
    <row r="4" customFormat="false" ht="31.5" hidden="false" customHeight="true" outlineLevel="0" collapsed="false">
      <c r="A4" s="8" t="s">
        <v>120</v>
      </c>
      <c r="B4" s="8" t="s">
        <v>121</v>
      </c>
    </row>
    <row r="5" customFormat="false" ht="15" hidden="false" customHeight="false" outlineLevel="0" collapsed="false">
      <c r="A5" s="9" t="s">
        <v>122</v>
      </c>
      <c r="B5" s="10" t="n">
        <f aca="false">COUNT('KRI library'!$K$5:$K$64)</f>
        <v>3</v>
      </c>
    </row>
    <row r="6" customFormat="false" ht="15" hidden="false" customHeight="false" outlineLevel="0" collapsed="false">
      <c r="A6" s="9" t="s">
        <v>123</v>
      </c>
      <c r="B6" s="10" t="n">
        <f aca="false">COUNTIF('KRI library'!$L$5:$L$64,"Red")</f>
        <v>1</v>
      </c>
    </row>
    <row r="7" customFormat="false" ht="15" hidden="false" customHeight="false" outlineLevel="0" collapsed="false">
      <c r="A7" s="9" t="s">
        <v>124</v>
      </c>
      <c r="B7" s="10" t="n">
        <f aca="false">COUNTIF('KRI library'!$L$5:$L$64,"Amber")</f>
        <v>1</v>
      </c>
    </row>
    <row r="8" customFormat="false" ht="15" hidden="false" customHeight="false" outlineLevel="0" collapsed="false">
      <c r="A8" s="9" t="s">
        <v>125</v>
      </c>
      <c r="B8" s="10" t="n">
        <f aca="false">COUNTIF('KRI library'!$L$5:$L$64,"Green")</f>
        <v>1</v>
      </c>
    </row>
    <row r="10" customFormat="false" ht="31.5" hidden="false" customHeight="true" outlineLevel="0" collapsed="false">
      <c r="A10" s="8" t="s">
        <v>126</v>
      </c>
      <c r="B10" s="8" t="s">
        <v>36</v>
      </c>
    </row>
    <row r="11" customFormat="false" ht="15" hidden="false" customHeight="false" outlineLevel="0" collapsed="false">
      <c r="A11" s="9" t="s">
        <v>32</v>
      </c>
      <c r="B11" s="10" t="n">
        <f aca="false">COUNTIF('KRI library'!$B$5:$B$64,A11)</f>
        <v>3</v>
      </c>
    </row>
    <row r="12" customFormat="false" ht="15" hidden="false" customHeight="false" outlineLevel="0" collapsed="false">
      <c r="A12" s="9" t="s">
        <v>51</v>
      </c>
      <c r="B12" s="10" t="n">
        <f aca="false">COUNTIF('KRI library'!$B$5:$B$64,A12)</f>
        <v>3</v>
      </c>
    </row>
    <row r="13" customFormat="false" ht="15" hidden="false" customHeight="false" outlineLevel="0" collapsed="false">
      <c r="A13" s="9" t="s">
        <v>62</v>
      </c>
      <c r="B13" s="10" t="n">
        <f aca="false">COUNTIF('KRI library'!$B$5:$B$64,A13)</f>
        <v>3</v>
      </c>
    </row>
    <row r="14" customFormat="false" ht="15" hidden="false" customHeight="false" outlineLevel="0" collapsed="false">
      <c r="A14" s="9" t="s">
        <v>76</v>
      </c>
      <c r="B14" s="10" t="n">
        <f aca="false">COUNTIF('KRI library'!$B$5:$B$64,A14)</f>
        <v>3</v>
      </c>
    </row>
    <row r="15" customFormat="false" ht="15" hidden="false" customHeight="false" outlineLevel="0" collapsed="false">
      <c r="A15" s="9" t="s">
        <v>88</v>
      </c>
      <c r="B15" s="10" t="n">
        <f aca="false">COUNTIF('KRI library'!$B$5:$B$64,A15)</f>
        <v>2</v>
      </c>
    </row>
    <row r="16" customFormat="false" ht="15" hidden="false" customHeight="false" outlineLevel="0" collapsed="false">
      <c r="A16" s="9" t="s">
        <v>95</v>
      </c>
      <c r="B16" s="10" t="n">
        <f aca="false">COUNTIF('KRI library'!$B$5:$B$64,A16)</f>
        <v>2</v>
      </c>
    </row>
    <row r="17" customFormat="false" ht="15" hidden="false" customHeight="false" outlineLevel="0" collapsed="false">
      <c r="A17" s="9" t="s">
        <v>102</v>
      </c>
      <c r="B17" s="10" t="n">
        <f aca="false">COUNTIF('KRI library'!$B$5:$B$64,A17)</f>
        <v>1</v>
      </c>
    </row>
    <row r="18" customFormat="false" ht="15" hidden="false" customHeight="false" outlineLevel="0" collapsed="false">
      <c r="A18" s="9" t="s">
        <v>106</v>
      </c>
      <c r="B18" s="10" t="n">
        <f aca="false">COUNTIF('KRI library'!$B$5:$B$64,A18)</f>
        <v>1</v>
      </c>
    </row>
    <row r="19" customFormat="false" ht="15" hidden="false" customHeight="false" outlineLevel="0" collapsed="false">
      <c r="A19" s="9" t="s">
        <v>111</v>
      </c>
      <c r="B19" s="10" t="n">
        <f aca="false">COUNTIF('KRI library'!$B$5:$B$64,A19)</f>
        <v>1</v>
      </c>
    </row>
    <row r="20" customFormat="false" ht="15" hidden="false" customHeight="false" outlineLevel="0" collapsed="false">
      <c r="A20" s="9" t="s">
        <v>115</v>
      </c>
      <c r="B20" s="10" t="n">
        <f aca="false">COUNTIF('KRI library'!$B$5:$B$64,A20)</f>
        <v>1</v>
      </c>
    </row>
    <row r="21" customFormat="false" ht="15" hidden="false" customHeight="false" outlineLevel="0" collapsed="false">
      <c r="A21" s="9" t="s">
        <v>127</v>
      </c>
      <c r="B21" s="10" t="n">
        <f aca="false">COUNTIF('KRI library'!$B$5:$B$64,A21)</f>
        <v>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4" min="1" style="0" width="28"/>
  </cols>
  <sheetData>
    <row r="1" customFormat="false" ht="25.5" hidden="false" customHeight="true" outlineLevel="0" collapsed="false">
      <c r="A1" s="1" t="s">
        <v>128</v>
      </c>
    </row>
    <row r="2" customFormat="false" ht="15" hidden="false" customHeight="false" outlineLevel="0" collapsed="false">
      <c r="A2" s="2" t="s">
        <v>129</v>
      </c>
    </row>
    <row r="4" customFormat="false" ht="15" hidden="false" customHeight="false" outlineLevel="0" collapsed="false">
      <c r="A4" s="11" t="s">
        <v>18</v>
      </c>
      <c r="B4" s="11" t="s">
        <v>21</v>
      </c>
      <c r="C4" s="11" t="s">
        <v>23</v>
      </c>
      <c r="D4" s="11" t="s">
        <v>26</v>
      </c>
    </row>
    <row r="5" customFormat="false" ht="15" hidden="false" customHeight="false" outlineLevel="0" collapsed="false">
      <c r="A5" s="5" t="s">
        <v>32</v>
      </c>
      <c r="B5" s="5" t="s">
        <v>43</v>
      </c>
      <c r="C5" s="5" t="s">
        <v>130</v>
      </c>
      <c r="D5" s="5" t="s">
        <v>38</v>
      </c>
    </row>
    <row r="6" customFormat="false" ht="15" hidden="false" customHeight="false" outlineLevel="0" collapsed="false">
      <c r="A6" s="5" t="s">
        <v>51</v>
      </c>
      <c r="B6" s="5" t="s">
        <v>35</v>
      </c>
      <c r="C6" s="5" t="s">
        <v>44</v>
      </c>
      <c r="D6" s="5" t="s">
        <v>71</v>
      </c>
    </row>
    <row r="7" customFormat="false" ht="15" hidden="false" customHeight="false" outlineLevel="0" collapsed="false">
      <c r="A7" s="5" t="s">
        <v>62</v>
      </c>
      <c r="C7" s="5" t="s">
        <v>37</v>
      </c>
    </row>
    <row r="8" customFormat="false" ht="15" hidden="false" customHeight="false" outlineLevel="0" collapsed="false">
      <c r="A8" s="5" t="s">
        <v>76</v>
      </c>
      <c r="C8" s="5" t="s">
        <v>49</v>
      </c>
    </row>
    <row r="9" customFormat="false" ht="15" hidden="false" customHeight="false" outlineLevel="0" collapsed="false">
      <c r="A9" s="5" t="s">
        <v>88</v>
      </c>
      <c r="C9" s="5" t="s">
        <v>131</v>
      </c>
    </row>
    <row r="10" customFormat="false" ht="15" hidden="false" customHeight="false" outlineLevel="0" collapsed="false">
      <c r="A10" s="5" t="s">
        <v>95</v>
      </c>
    </row>
    <row r="11" customFormat="false" ht="15" hidden="false" customHeight="false" outlineLevel="0" collapsed="false">
      <c r="A11" s="5" t="s">
        <v>102</v>
      </c>
    </row>
    <row r="12" customFormat="false" ht="15" hidden="false" customHeight="false" outlineLevel="0" collapsed="false">
      <c r="A12" s="5" t="s">
        <v>106</v>
      </c>
    </row>
    <row r="13" customFormat="false" ht="15" hidden="false" customHeight="false" outlineLevel="0" collapsed="false">
      <c r="A13" s="5" t="s">
        <v>111</v>
      </c>
    </row>
    <row r="14" customFormat="false" ht="15" hidden="false" customHeight="false" outlineLevel="0" collapsed="false">
      <c r="A14" s="5" t="s">
        <v>115</v>
      </c>
    </row>
    <row r="15" customFormat="false" ht="15" hidden="false" customHeight="false" outlineLevel="0" collapsed="false">
      <c r="A15" s="5" t="s">
        <v>127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25.5" hidden="false" customHeight="true" outlineLevel="0" collapsed="false">
      <c r="A1" s="1" t="s">
        <v>132</v>
      </c>
    </row>
    <row r="2" customFormat="false" ht="15" hidden="false" customHeight="false" outlineLevel="0" collapsed="false">
      <c r="A2" s="2" t="s">
        <v>133</v>
      </c>
    </row>
    <row r="4" customFormat="false" ht="31.5" hidden="false" customHeight="true" outlineLevel="0" collapsed="false">
      <c r="A4" s="12" t="s">
        <v>134</v>
      </c>
      <c r="B4" s="4" t="s">
        <v>135</v>
      </c>
    </row>
    <row r="5" customFormat="false" ht="31.5" hidden="false" customHeight="true" outlineLevel="0" collapsed="false">
      <c r="A5" s="12" t="s">
        <v>26</v>
      </c>
      <c r="B5" s="4" t="s">
        <v>136</v>
      </c>
    </row>
    <row r="6" customFormat="false" ht="31.5" hidden="false" customHeight="true" outlineLevel="0" collapsed="false">
      <c r="A6" s="12" t="s">
        <v>137</v>
      </c>
      <c r="B6" s="4" t="s">
        <v>138</v>
      </c>
    </row>
    <row r="7" customFormat="false" ht="31.5" hidden="false" customHeight="true" outlineLevel="0" collapsed="false">
      <c r="A7" s="12" t="s">
        <v>139</v>
      </c>
      <c r="B7" s="4" t="s">
        <v>140</v>
      </c>
    </row>
    <row r="8" customFormat="false" ht="31.5" hidden="false" customHeight="true" outlineLevel="0" collapsed="false">
      <c r="A8" s="12" t="s">
        <v>141</v>
      </c>
      <c r="B8" s="4" t="s">
        <v>142</v>
      </c>
    </row>
    <row r="9" customFormat="false" ht="31.5" hidden="false" customHeight="true" outlineLevel="0" collapsed="false">
      <c r="A9" s="12" t="s">
        <v>143</v>
      </c>
      <c r="B9" s="4" t="s">
        <v>144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2026-09-28T05:53:10Z</dcterms:created>
  <dc:creator>openpyxl</dc:creator>
  <dc:description/>
  <dc:language>en-US</dc:language>
  <cp:lastModifiedBy/>
  <dcterms:modified xsi:type="dcterms:W3CDTF">2026-09-28T05:53:10Z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