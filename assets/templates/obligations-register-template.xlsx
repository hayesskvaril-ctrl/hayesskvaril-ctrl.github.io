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Obligations register" sheetId="2" state="visible" r:id="rId4"/>
    <sheet name="Dashboard" sheetId="3" state="visible" r:id="rId5"/>
    <sheet name="Lists" sheetId="4" state="visible" r:id="rId6"/>
  </sheets>
  <definedNames>
    <definedName function="false" hidden="true" localSheetId="1" name="_xlnm._FilterDatabase" vbProcedure="false">'Obligations register'!$A$4:$P$154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E.g. Corporations Act s 912D; CPS 230 paragraph 33</t>
        </r>
      </text>
    </comment>
  </commentList>
</comments>
</file>

<file path=xl/sharedStrings.xml><?xml version="1.0" encoding="utf-8"?>
<sst xmlns="http://schemas.openxmlformats.org/spreadsheetml/2006/main" count="116" uniqueCount="91">
  <si>
    <t xml:space="preserve">Obligations register template</t>
  </si>
  <si>
    <t xml:space="preserve">RiskLens Australia · free template · version 1.0 (September 2026)</t>
  </si>
  <si>
    <t xml:space="preserve">What this is</t>
  </si>
  <si>
    <t xml:space="preserve">A register of the organisation's compliance obligations: where each comes from, who owns it, the controls that ensure it is met, and when it was last reviewed. Background: https://hayesskvaril-ctrl.github.io/compliance/designing-a-compliance-program.html</t>
  </si>
  <si>
    <t xml:space="preserve">How to use it</t>
  </si>
  <si>
    <t xml:space="preserve">1. Record each obligation in plain English, with its source reference (legislation section, standard paragraph, code clause).
2. Assign an obligation owner and list the key controls.
3. Rate inherent compliance risk and control effectiveness. Residual risk calculates using a simple rule.
4. Set a review frequency. The next review date and review status calculate automatically.
5. Use the Dashboard to report coverage, overdue reviews and higher-risk obligations.</t>
  </si>
  <si>
    <t xml:space="preserve">Residual risk rule</t>
  </si>
  <si>
    <t xml:space="preserve">A simple, illustrative rule: effective controls reduce the inherent rating by one level; ineffective controls increase it by one level; partially effective or untested controls leave it unchanged. Replace it with your own methodology if you have one.</t>
  </si>
  <si>
    <t xml:space="preserve">Keeping it current</t>
  </si>
  <si>
    <t xml:space="preserve">Link the register to your regulatory change process so new or changed obligations are added promptly.</t>
  </si>
  <si>
    <t xml:space="preserve">Colour key</t>
  </si>
  <si>
    <t xml:space="preserve">Pale yellow cells: fill these in (many have drop-down lists).
Grey-blue cells: calculated automatically; don't type over them.
Green rows: worked examples. Replace or delete them.</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</si>
  <si>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</si>
  <si>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</si>
  <si>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</si>
  <si>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</si>
  <si>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</si>
  <si>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Obligations register</t>
  </si>
  <si>
    <t xml:space="preserve">Fill in the yellow cells. Grey-blue cells calculate automatically.</t>
  </si>
  <si>
    <t xml:space="preserve">Obligation ID</t>
  </si>
  <si>
    <t xml:space="preserve">Source type</t>
  </si>
  <si>
    <t xml:space="preserve">Source reference</t>
  </si>
  <si>
    <t xml:space="preserve">Obligation (plain English)</t>
  </si>
  <si>
    <t xml:space="preserve">Business area</t>
  </si>
  <si>
    <t xml:space="preserve">Obligation owner</t>
  </si>
  <si>
    <t xml:space="preserve">Key controls</t>
  </si>
  <si>
    <t xml:space="preserve">Control owner</t>
  </si>
  <si>
    <t xml:space="preserve">Inherent compliance risk</t>
  </si>
  <si>
    <t xml:space="preserve">Control effectiveness</t>
  </si>
  <si>
    <t xml:space="preserve">Residual compliance risk</t>
  </si>
  <si>
    <t xml:space="preserve">Last reviewed</t>
  </si>
  <si>
    <t xml:space="preserve">Review frequency (months)</t>
  </si>
  <si>
    <t xml:space="preserve">Next review due</t>
  </si>
  <si>
    <t xml:space="preserve">Review status</t>
  </si>
  <si>
    <t xml:space="preserve">Notes and recent changes</t>
  </si>
  <si>
    <t xml:space="preserve">OB-001</t>
  </si>
  <si>
    <t xml:space="preserve">Legislation</t>
  </si>
  <si>
    <t xml:space="preserve">Corporations Act ss 912D, 912DAA</t>
  </si>
  <si>
    <t xml:space="preserve">Report reportable situations (including significant breaches) to ASIC within 30 days of reasonable grounds.</t>
  </si>
  <si>
    <t xml:space="preserve">Compliance</t>
  </si>
  <si>
    <t xml:space="preserve">Head of Compliance</t>
  </si>
  <si>
    <t xml:space="preserve">Breach register; significance assessment procedure; 30-day deadline tracking; monthly review by Compliance Committee</t>
  </si>
  <si>
    <t xml:space="preserve">Compliance Manager</t>
  </si>
  <si>
    <t xml:space="preserve">High</t>
  </si>
  <si>
    <t xml:space="preserve">Effective</t>
  </si>
  <si>
    <t xml:space="preserve">ASIC relief extended the investigation period to 60 days from 27 June 2025.</t>
  </si>
  <si>
    <t xml:space="preserve">OB-002</t>
  </si>
  <si>
    <t xml:space="preserve">Privacy Act 1988, APP 11</t>
  </si>
  <si>
    <t xml:space="preserve">Take reasonable steps to protect personal information from misuse, interference, loss and unauthorised access; destroy or de-identify it when no longer needed.</t>
  </si>
  <si>
    <t xml:space="preserve">Technology and operations</t>
  </si>
  <si>
    <t xml:space="preserve">Chief Information Security Officer</t>
  </si>
  <si>
    <t xml:space="preserve">Access management; MFA; data retention schedule; annual destruction review</t>
  </si>
  <si>
    <t xml:space="preserve">IT Security Manager</t>
  </si>
  <si>
    <t xml:space="preserve">Extreme</t>
  </si>
  <si>
    <t xml:space="preserve">Partially effective</t>
  </si>
  <si>
    <t xml:space="preserve">OB-003</t>
  </si>
  <si>
    <t xml:space="preserve">Prudential standard</t>
  </si>
  <si>
    <t xml:space="preserve">CPS 230 (notification of material operational risk incidents)</t>
  </si>
  <si>
    <t xml:space="preserve">Notify APRA as soon as possible, and within 72 hours, of a material operational risk incident.</t>
  </si>
  <si>
    <t xml:space="preserve">Risk</t>
  </si>
  <si>
    <t xml:space="preserve">Chief Risk Officer</t>
  </si>
  <si>
    <t xml:space="preserve">Incident management procedure; materiality criteria; APRA notification checklist</t>
  </si>
  <si>
    <t xml:space="preserve">Operational Risk Manager</t>
  </si>
  <si>
    <t xml:space="preserve">Not tested</t>
  </si>
  <si>
    <t xml:space="preserve">Dashboard</t>
  </si>
  <si>
    <t xml:space="preserve">Updates automatically from the register.</t>
  </si>
  <si>
    <t xml:space="preserve">Measure</t>
  </si>
  <si>
    <t xml:space="preserve">Value</t>
  </si>
  <si>
    <t xml:space="preserve">Obligations recorded</t>
  </si>
  <si>
    <t xml:space="preserve">Reviews overdue</t>
  </si>
  <si>
    <t xml:space="preserve">Reviews due in the next 30 days</t>
  </si>
  <si>
    <t xml:space="preserve">Residual Extreme</t>
  </si>
  <si>
    <t xml:space="preserve">Residual High</t>
  </si>
  <si>
    <t xml:space="preserve">Controls not tested</t>
  </si>
  <si>
    <t xml:space="preserve">Controls ineffective</t>
  </si>
  <si>
    <t xml:space="preserve">Obligations by source type</t>
  </si>
  <si>
    <t xml:space="preserve">Count</t>
  </si>
  <si>
    <t xml:space="preserve">Regulations</t>
  </si>
  <si>
    <t xml:space="preserve">ASIC legislative instrument</t>
  </si>
  <si>
    <t xml:space="preserve">Regulatory guide (guidance)</t>
  </si>
  <si>
    <t xml:space="preserve">Industry code</t>
  </si>
  <si>
    <t xml:space="preserve">Licence condition</t>
  </si>
  <si>
    <t xml:space="preserve">Contract</t>
  </si>
  <si>
    <t xml:space="preserve">Internal policy</t>
  </si>
  <si>
    <t xml:space="preserve">Obligations by residual risk</t>
  </si>
  <si>
    <t xml:space="preserve">Low</t>
  </si>
  <si>
    <t xml:space="preserve">Medium</t>
  </si>
  <si>
    <t xml:space="preserve">Drop-down lists</t>
  </si>
  <si>
    <t xml:space="preserve">Edit these values to suit your organisation. The drop-downs read from this tab.</t>
  </si>
  <si>
    <t xml:space="preserve">Rating</t>
  </si>
  <si>
    <t xml:space="preserve">Ineffective</t>
  </si>
</sst>
</file>

<file path=xl/styles.xml><?xml version="1.0" encoding="utf-8"?>
<styleSheet xmlns="http://schemas.openxmlformats.org/spreadsheetml/2006/main">
  <numFmts count="3">
    <numFmt numFmtId="164" formatCode="General"/>
    <numFmt numFmtId="165" formatCode="dd/mm/yyyy"/>
    <numFmt numFmtId="166"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0"/>
      <color rgb="FFFFFFFF"/>
      <name val="Arial"/>
      <family val="0"/>
      <charset val="1"/>
    </font>
    <font>
      <sz val="10"/>
      <name val="Arial"/>
      <family val="2"/>
    </font>
    <font>
      <b val="true"/>
      <sz val="10"/>
      <color rgb="FF000000"/>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CA5A5"/>
          <bgColor rgb="FF000000"/>
        </patternFill>
      </fill>
    </dxf>
    <dxf>
      <fill>
        <patternFill patternType="solid">
          <fgColor rgb="FFFDBA74"/>
          <bgColor rgb="FF000000"/>
        </patternFill>
      </fill>
    </dxf>
    <dxf>
      <fill>
        <patternFill patternType="solid">
          <fgColor rgb="FFEEF2F7"/>
          <bgColor rgb="FF000000"/>
        </patternFill>
      </fill>
    </dxf>
    <dxf>
      <fill>
        <patternFill patternType="solid">
          <fgColor rgb="FFFDE68A"/>
          <bgColor rgb="FF000000"/>
        </patternFill>
      </fill>
    </dxf>
    <dxf>
      <fill>
        <patternFill>
          <bgColor rgb="FFBFE5CB"/>
        </patternFill>
      </fill>
    </dxf>
    <dxf>
      <fill>
        <patternFill>
          <bgColor rgb="FFFDE68A"/>
        </patternFill>
      </fill>
    </dxf>
    <dxf>
      <fill>
        <patternFill>
          <bgColor rgb="FFFDBA74"/>
        </patternFill>
      </fill>
    </dxf>
    <dxf>
      <fill>
        <patternFill>
          <bgColor rgb="FFFCA5A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DBA74"/>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135" hidden="false" customHeight="true" outlineLevel="0" collapsed="false">
      <c r="A5" s="3" t="s">
        <v>4</v>
      </c>
      <c r="B5" s="4" t="s">
        <v>5</v>
      </c>
    </row>
    <row r="6" customFormat="false" ht="45" hidden="false" customHeight="true" outlineLevel="0" collapsed="false">
      <c r="A6" s="3" t="s">
        <v>6</v>
      </c>
      <c r="B6" s="4" t="s">
        <v>7</v>
      </c>
    </row>
    <row r="7" customFormat="false" ht="30" hidden="false" customHeight="true" outlineLevel="0" collapsed="false">
      <c r="A7" s="3" t="s">
        <v>8</v>
      </c>
      <c r="B7" s="4" t="s">
        <v>9</v>
      </c>
    </row>
    <row r="8" customFormat="false" ht="60" hidden="false" customHeight="true" outlineLevel="0" collapsed="false">
      <c r="A8" s="3" t="s">
        <v>10</v>
      </c>
      <c r="B8" s="4" t="s">
        <v>11</v>
      </c>
    </row>
    <row r="9" customFormat="false" ht="45" hidden="false" customHeight="true" outlineLevel="0" collapsed="false">
      <c r="A9" s="3" t="s">
        <v>12</v>
      </c>
      <c r="B9" s="4" t="s">
        <v>13</v>
      </c>
    </row>
    <row r="11" customFormat="false" ht="15" hidden="false" customHeight="false" outlineLevel="0" collapsed="false">
      <c r="A11" s="5" t="s">
        <v>14</v>
      </c>
    </row>
    <row r="12" customFormat="false" ht="15" hidden="false" customHeight="false" outlineLevel="0" collapsed="false">
      <c r="A12" s="6" t="s">
        <v>15</v>
      </c>
    </row>
    <row r="13" customFormat="false" ht="15" hidden="false" customHeight="false" outlineLevel="0" collapsed="false">
      <c r="A13" s="7" t="s">
        <v>16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4"/>
    <col collapsed="false" customWidth="true" hidden="false" outlineLevel="0" max="4" min="4" style="0" width="44"/>
    <col collapsed="false" customWidth="true" hidden="false" outlineLevel="0" max="6" min="5" style="0" width="18"/>
    <col collapsed="false" customWidth="true" hidden="false" outlineLevel="0" max="7" min="7" style="0" width="36"/>
    <col collapsed="false" customWidth="true" hidden="false" outlineLevel="0" max="8" min="8" style="0" width="18"/>
    <col collapsed="false" customWidth="true" hidden="false" outlineLevel="0" max="9" min="9" style="0" width="14"/>
    <col collapsed="false" customWidth="true" hidden="false" outlineLevel="0" max="10" min="10" style="0" width="16"/>
    <col collapsed="false" customWidth="true" hidden="false" outlineLevel="0" max="11" min="11" style="0" width="14"/>
    <col collapsed="false" customWidth="true" hidden="false" outlineLevel="0" max="12" min="12" style="0" width="13"/>
    <col collapsed="false" customWidth="true" hidden="false" outlineLevel="0" max="13" min="13" style="0" width="12"/>
    <col collapsed="false" customWidth="true" hidden="false" outlineLevel="0" max="14" min="14" style="0" width="13"/>
    <col collapsed="false" customWidth="true" hidden="false" outlineLevel="0" max="15" min="15" style="0" width="12"/>
    <col collapsed="false" customWidth="true" hidden="false" outlineLevel="0" max="16" min="16" style="0" width="34"/>
  </cols>
  <sheetData>
    <row r="1" customFormat="false" ht="25.5" hidden="false" customHeight="true" outlineLevel="0" collapsed="false">
      <c r="A1" s="1" t="s">
        <v>17</v>
      </c>
    </row>
    <row r="2" customFormat="false" ht="15" hidden="false" customHeight="false" outlineLevel="0" collapsed="false">
      <c r="A2" s="2" t="s">
        <v>18</v>
      </c>
    </row>
    <row r="4" customFormat="false" ht="43.5" hidden="false" customHeight="true" outlineLevel="0" collapsed="false">
      <c r="A4" s="8" t="s">
        <v>19</v>
      </c>
      <c r="B4" s="8" t="s">
        <v>20</v>
      </c>
      <c r="C4" s="8" t="s">
        <v>21</v>
      </c>
      <c r="D4" s="8" t="s">
        <v>22</v>
      </c>
      <c r="E4" s="8" t="s">
        <v>23</v>
      </c>
      <c r="F4" s="8" t="s">
        <v>24</v>
      </c>
      <c r="G4" s="8" t="s">
        <v>25</v>
      </c>
      <c r="H4" s="8" t="s">
        <v>26</v>
      </c>
      <c r="I4" s="8" t="s">
        <v>27</v>
      </c>
      <c r="J4" s="8" t="s">
        <v>28</v>
      </c>
      <c r="K4" s="8" t="s">
        <v>29</v>
      </c>
      <c r="L4" s="8" t="s">
        <v>30</v>
      </c>
      <c r="M4" s="8" t="s">
        <v>31</v>
      </c>
      <c r="N4" s="8" t="s">
        <v>32</v>
      </c>
      <c r="O4" s="8" t="s">
        <v>33</v>
      </c>
      <c r="P4" s="8" t="s">
        <v>34</v>
      </c>
    </row>
    <row r="5" customFormat="false" ht="35.05" hidden="false" customHeight="false" outlineLevel="0" collapsed="false">
      <c r="A5" s="7" t="s">
        <v>35</v>
      </c>
      <c r="B5" s="7" t="s">
        <v>36</v>
      </c>
      <c r="C5" s="7" t="s">
        <v>37</v>
      </c>
      <c r="D5" s="7" t="s">
        <v>38</v>
      </c>
      <c r="E5" s="7" t="s">
        <v>39</v>
      </c>
      <c r="F5" s="7" t="s">
        <v>40</v>
      </c>
      <c r="G5" s="7" t="s">
        <v>41</v>
      </c>
      <c r="H5" s="7" t="s">
        <v>42</v>
      </c>
      <c r="I5" s="7" t="s">
        <v>43</v>
      </c>
      <c r="J5" s="7" t="s">
        <v>44</v>
      </c>
      <c r="K5" s="6" t="str">
        <f aca="false">IF(OR(I5="",J5=""),"",CHOOSE(MAX(1,MIN(4,MATCH(I5,{"Low","Medium","High","Extreme"},0)+IF(J5="Effective",-1,IF(J5="Ineffective",1,0)))),"Low","Medium","High","Extreme"))</f>
        <v>Medium</v>
      </c>
      <c r="L5" s="9" t="n">
        <v>46112</v>
      </c>
      <c r="M5" s="7" t="n">
        <v>12</v>
      </c>
      <c r="N5" s="10" t="n">
        <f aca="false">IF(OR(L5="",M5=""),"",EDATE(L5,M5))</f>
        <v>46477</v>
      </c>
      <c r="O5" s="6" t="str">
        <f aca="true">IF(N5="","",IF(N5&lt;TODAY(),"OVERDUE",IF(N5-TODAY()&lt;=30,"Due soon","Current")))</f>
        <v>Current</v>
      </c>
      <c r="P5" s="7" t="s">
        <v>45</v>
      </c>
    </row>
    <row r="6" customFormat="false" ht="35.05" hidden="false" customHeight="false" outlineLevel="0" collapsed="false">
      <c r="A6" s="7" t="s">
        <v>46</v>
      </c>
      <c r="B6" s="7" t="s">
        <v>36</v>
      </c>
      <c r="C6" s="7" t="s">
        <v>47</v>
      </c>
      <c r="D6" s="7" t="s">
        <v>48</v>
      </c>
      <c r="E6" s="7" t="s">
        <v>49</v>
      </c>
      <c r="F6" s="7" t="s">
        <v>50</v>
      </c>
      <c r="G6" s="7" t="s">
        <v>51</v>
      </c>
      <c r="H6" s="7" t="s">
        <v>52</v>
      </c>
      <c r="I6" s="7" t="s">
        <v>53</v>
      </c>
      <c r="J6" s="7" t="s">
        <v>54</v>
      </c>
      <c r="K6" s="6" t="str">
        <f aca="false">IF(OR(I6="",J6=""),"",CHOOSE(MAX(1,MIN(4,MATCH(I6,{"Low","Medium","High","Extreme"},0)+IF(J6="Effective",-1,IF(J6="Ineffective",1,0)))),"Low","Medium","High","Extreme"))</f>
        <v>Extreme</v>
      </c>
      <c r="L6" s="9" t="n">
        <v>45884</v>
      </c>
      <c r="M6" s="7" t="n">
        <v>12</v>
      </c>
      <c r="N6" s="10" t="n">
        <f aca="false">IF(OR(L6="",M6=""),"",EDATE(L6,M6))</f>
        <v>46249</v>
      </c>
      <c r="O6" s="6" t="str">
        <f aca="true">IF(N6="","",IF(N6&lt;TODAY(),"OVERDUE",IF(N6-TODAY()&lt;=30,"Due soon","Current")))</f>
        <v>OVERDUE</v>
      </c>
      <c r="P6" s="7"/>
    </row>
    <row r="7" customFormat="false" ht="23.85" hidden="false" customHeight="false" outlineLevel="0" collapsed="false">
      <c r="A7" s="7" t="s">
        <v>55</v>
      </c>
      <c r="B7" s="7" t="s">
        <v>56</v>
      </c>
      <c r="C7" s="7" t="s">
        <v>57</v>
      </c>
      <c r="D7" s="7" t="s">
        <v>58</v>
      </c>
      <c r="E7" s="7" t="s">
        <v>59</v>
      </c>
      <c r="F7" s="7" t="s">
        <v>60</v>
      </c>
      <c r="G7" s="7" t="s">
        <v>61</v>
      </c>
      <c r="H7" s="7" t="s">
        <v>62</v>
      </c>
      <c r="I7" s="7" t="s">
        <v>43</v>
      </c>
      <c r="J7" s="7" t="s">
        <v>63</v>
      </c>
      <c r="K7" s="6" t="str">
        <f aca="false">IF(OR(I7="",J7=""),"",CHOOSE(MAX(1,MIN(4,MATCH(I7,{"Low","Medium","High","Extreme"},0)+IF(J7="Effective",-1,IF(J7="Ineffective",1,0)))),"Low","Medium","High","Extreme"))</f>
        <v>High</v>
      </c>
      <c r="L7" s="9" t="n">
        <v>46204</v>
      </c>
      <c r="M7" s="7" t="n">
        <v>6</v>
      </c>
      <c r="N7" s="10" t="n">
        <f aca="false">IF(OR(L7="",M7=""),"",EDATE(L7,M7))</f>
        <v>46388</v>
      </c>
      <c r="O7" s="6" t="str">
        <f aca="true">IF(N7="","",IF(N7&lt;TODAY(),"OVERDUE",IF(N7-TODAY()&lt;=30,"Due soon","Current")))</f>
        <v>Current</v>
      </c>
      <c r="P7" s="7"/>
    </row>
    <row r="8" customFormat="false" ht="15" hidden="false" customHeight="false" outlineLevel="0" collapsed="false">
      <c r="A8" s="5"/>
      <c r="B8" s="5"/>
      <c r="C8" s="5"/>
      <c r="D8" s="5"/>
      <c r="E8" s="5"/>
      <c r="F8" s="5"/>
      <c r="G8" s="5"/>
      <c r="H8" s="5"/>
      <c r="I8" s="5"/>
      <c r="J8" s="5"/>
      <c r="K8" s="6" t="str">
        <f aca="false">IF(OR(I8="",J8=""),"",CHOOSE(MAX(1,MIN(4,MATCH(I8,{"Low","Medium","High","Extreme"},0)+IF(J8="Effective",-1,IF(J8="Ineffective",1,0)))),"Low","Medium","High","Extreme"))</f>
        <v/>
      </c>
      <c r="L8" s="11"/>
      <c r="M8" s="5"/>
      <c r="N8" s="10" t="str">
        <f aca="false">IF(OR(L8="",M8=""),"",EDATE(L8,M8))</f>
        <v/>
      </c>
      <c r="O8" s="6" t="str">
        <f aca="true">IF(N8="","",IF(N8&lt;TODAY(),"OVERDUE",IF(N8-TODAY()&lt;=30,"Due soon","Current")))</f>
        <v/>
      </c>
      <c r="P8" s="5"/>
    </row>
    <row r="9" customFormat="false" ht="15" hidden="false" customHeight="false" outlineLevel="0" collapsed="false">
      <c r="A9" s="5"/>
      <c r="B9" s="5"/>
      <c r="C9" s="5"/>
      <c r="D9" s="5"/>
      <c r="E9" s="5"/>
      <c r="F9" s="5"/>
      <c r="G9" s="5"/>
      <c r="H9" s="5"/>
      <c r="I9" s="5"/>
      <c r="J9" s="5"/>
      <c r="K9" s="6" t="str">
        <f aca="false">IF(OR(I9="",J9=""),"",CHOOSE(MAX(1,MIN(4,MATCH(I9,{"Low","Medium","High","Extreme"},0)+IF(J9="Effective",-1,IF(J9="Ineffective",1,0)))),"Low","Medium","High","Extreme"))</f>
        <v/>
      </c>
      <c r="L9" s="11"/>
      <c r="M9" s="5"/>
      <c r="N9" s="10" t="str">
        <f aca="false">IF(OR(L9="",M9=""),"",EDATE(L9,M9))</f>
        <v/>
      </c>
      <c r="O9" s="6" t="str">
        <f aca="true">IF(N9="","",IF(N9&lt;TODAY(),"OVERDUE",IF(N9-TODAY()&lt;=30,"Due soon","Current")))</f>
        <v/>
      </c>
      <c r="P9" s="5"/>
    </row>
    <row r="10" customFormat="false" ht="15" hidden="false" customHeight="false" outlineLevel="0" collapsed="false">
      <c r="A10" s="5"/>
      <c r="B10" s="5"/>
      <c r="C10" s="5"/>
      <c r="D10" s="5"/>
      <c r="E10" s="5"/>
      <c r="F10" s="5"/>
      <c r="G10" s="5"/>
      <c r="H10" s="5"/>
      <c r="I10" s="5"/>
      <c r="J10" s="5"/>
      <c r="K10" s="6" t="str">
        <f aca="false">IF(OR(I10="",J10=""),"",CHOOSE(MAX(1,MIN(4,MATCH(I10,{"Low","Medium","High","Extreme"},0)+IF(J10="Effective",-1,IF(J10="Ineffective",1,0)))),"Low","Medium","High","Extreme"))</f>
        <v/>
      </c>
      <c r="L10" s="11"/>
      <c r="M10" s="5"/>
      <c r="N10" s="10" t="str">
        <f aca="false">IF(OR(L10="",M10=""),"",EDATE(L10,M10))</f>
        <v/>
      </c>
      <c r="O10" s="6" t="str">
        <f aca="true">IF(N10="","",IF(N10&lt;TODAY(),"OVERDUE",IF(N10-TODAY()&lt;=30,"Due soon","Current")))</f>
        <v/>
      </c>
      <c r="P10" s="5"/>
    </row>
    <row r="11" customFormat="false" ht="15" hidden="false" customHeight="false" outlineLevel="0" collapsed="false">
      <c r="A11" s="5"/>
      <c r="B11" s="5"/>
      <c r="C11" s="5"/>
      <c r="D11" s="5"/>
      <c r="E11" s="5"/>
      <c r="F11" s="5"/>
      <c r="G11" s="5"/>
      <c r="H11" s="5"/>
      <c r="I11" s="5"/>
      <c r="J11" s="5"/>
      <c r="K11" s="6" t="str">
        <f aca="false">IF(OR(I11="",J11=""),"",CHOOSE(MAX(1,MIN(4,MATCH(I11,{"Low","Medium","High","Extreme"},0)+IF(J11="Effective",-1,IF(J11="Ineffective",1,0)))),"Low","Medium","High","Extreme"))</f>
        <v/>
      </c>
      <c r="L11" s="11"/>
      <c r="M11" s="5"/>
      <c r="N11" s="10" t="str">
        <f aca="false">IF(OR(L11="",M11=""),"",EDATE(L11,M11))</f>
        <v/>
      </c>
      <c r="O11" s="6" t="str">
        <f aca="true">IF(N11="","",IF(N11&lt;TODAY(),"OVERDUE",IF(N11-TODAY()&lt;=30,"Due soon","Current")))</f>
        <v/>
      </c>
      <c r="P11" s="5"/>
    </row>
    <row r="12" customFormat="false" ht="15" hidden="false" customHeight="false" outlineLevel="0" collapsed="false">
      <c r="A12" s="5"/>
      <c r="B12" s="5"/>
      <c r="C12" s="5"/>
      <c r="D12" s="5"/>
      <c r="E12" s="5"/>
      <c r="F12" s="5"/>
      <c r="G12" s="5"/>
      <c r="H12" s="5"/>
      <c r="I12" s="5"/>
      <c r="J12" s="5"/>
      <c r="K12" s="6" t="str">
        <f aca="false">IF(OR(I12="",J12=""),"",CHOOSE(MAX(1,MIN(4,MATCH(I12,{"Low","Medium","High","Extreme"},0)+IF(J12="Effective",-1,IF(J12="Ineffective",1,0)))),"Low","Medium","High","Extreme"))</f>
        <v/>
      </c>
      <c r="L12" s="11"/>
      <c r="M12" s="5"/>
      <c r="N12" s="10" t="str">
        <f aca="false">IF(OR(L12="",M12=""),"",EDATE(L12,M12))</f>
        <v/>
      </c>
      <c r="O12" s="6" t="str">
        <f aca="true">IF(N12="","",IF(N12&lt;TODAY(),"OVERDUE",IF(N12-TODAY()&lt;=30,"Due soon","Current")))</f>
        <v/>
      </c>
      <c r="P12" s="5"/>
    </row>
    <row r="13" customFormat="false" ht="15" hidden="false" customHeight="false" outlineLevel="0" collapsed="false">
      <c r="A13" s="5"/>
      <c r="B13" s="5"/>
      <c r="C13" s="5"/>
      <c r="D13" s="5"/>
      <c r="E13" s="5"/>
      <c r="F13" s="5"/>
      <c r="G13" s="5"/>
      <c r="H13" s="5"/>
      <c r="I13" s="5"/>
      <c r="J13" s="5"/>
      <c r="K13" s="6" t="str">
        <f aca="false">IF(OR(I13="",J13=""),"",CHOOSE(MAX(1,MIN(4,MATCH(I13,{"Low","Medium","High","Extreme"},0)+IF(J13="Effective",-1,IF(J13="Ineffective",1,0)))),"Low","Medium","High","Extreme"))</f>
        <v/>
      </c>
      <c r="L13" s="11"/>
      <c r="M13" s="5"/>
      <c r="N13" s="10" t="str">
        <f aca="false">IF(OR(L13="",M13=""),"",EDATE(L13,M13))</f>
        <v/>
      </c>
      <c r="O13" s="6" t="str">
        <f aca="true">IF(N13="","",IF(N13&lt;TODAY(),"OVERDUE",IF(N13-TODAY()&lt;=30,"Due soon","Current")))</f>
        <v/>
      </c>
      <c r="P13" s="5"/>
    </row>
    <row r="14" customFormat="false" ht="15" hidden="false" customHeight="false" outlineLevel="0" collapsed="false">
      <c r="A14" s="5"/>
      <c r="B14" s="5"/>
      <c r="C14" s="5"/>
      <c r="D14" s="5"/>
      <c r="E14" s="5"/>
      <c r="F14" s="5"/>
      <c r="G14" s="5"/>
      <c r="H14" s="5"/>
      <c r="I14" s="5"/>
      <c r="J14" s="5"/>
      <c r="K14" s="6" t="str">
        <f aca="false">IF(OR(I14="",J14=""),"",CHOOSE(MAX(1,MIN(4,MATCH(I14,{"Low","Medium","High","Extreme"},0)+IF(J14="Effective",-1,IF(J14="Ineffective",1,0)))),"Low","Medium","High","Extreme"))</f>
        <v/>
      </c>
      <c r="L14" s="11"/>
      <c r="M14" s="5"/>
      <c r="N14" s="10" t="str">
        <f aca="false">IF(OR(L14="",M14=""),"",EDATE(L14,M14))</f>
        <v/>
      </c>
      <c r="O14" s="6" t="str">
        <f aca="true">IF(N14="","",IF(N14&lt;TODAY(),"OVERDUE",IF(N14-TODAY()&lt;=30,"Due soon","Current")))</f>
        <v/>
      </c>
      <c r="P14" s="5"/>
    </row>
    <row r="15" customFormat="false" ht="15" hidden="false" customHeight="false" outlineLevel="0" collapsed="false">
      <c r="A15" s="5"/>
      <c r="B15" s="5"/>
      <c r="C15" s="5"/>
      <c r="D15" s="5"/>
      <c r="E15" s="5"/>
      <c r="F15" s="5"/>
      <c r="G15" s="5"/>
      <c r="H15" s="5"/>
      <c r="I15" s="5"/>
      <c r="J15" s="5"/>
      <c r="K15" s="6" t="str">
        <f aca="false">IF(OR(I15="",J15=""),"",CHOOSE(MAX(1,MIN(4,MATCH(I15,{"Low","Medium","High","Extreme"},0)+IF(J15="Effective",-1,IF(J15="Ineffective",1,0)))),"Low","Medium","High","Extreme"))</f>
        <v/>
      </c>
      <c r="L15" s="11"/>
      <c r="M15" s="5"/>
      <c r="N15" s="10" t="str">
        <f aca="false">IF(OR(L15="",M15=""),"",EDATE(L15,M15))</f>
        <v/>
      </c>
      <c r="O15" s="6" t="str">
        <f aca="true">IF(N15="","",IF(N15&lt;TODAY(),"OVERDUE",IF(N15-TODAY()&lt;=30,"Due soon","Current")))</f>
        <v/>
      </c>
      <c r="P15" s="5"/>
    </row>
    <row r="16" customFormat="false" ht="15" hidden="false" customHeight="false" outlineLevel="0" collapsed="false">
      <c r="A16" s="5"/>
      <c r="B16" s="5"/>
      <c r="C16" s="5"/>
      <c r="D16" s="5"/>
      <c r="E16" s="5"/>
      <c r="F16" s="5"/>
      <c r="G16" s="5"/>
      <c r="H16" s="5"/>
      <c r="I16" s="5"/>
      <c r="J16" s="5"/>
      <c r="K16" s="6" t="str">
        <f aca="false">IF(OR(I16="",J16=""),"",CHOOSE(MAX(1,MIN(4,MATCH(I16,{"Low","Medium","High","Extreme"},0)+IF(J16="Effective",-1,IF(J16="Ineffective",1,0)))),"Low","Medium","High","Extreme"))</f>
        <v/>
      </c>
      <c r="L16" s="11"/>
      <c r="M16" s="5"/>
      <c r="N16" s="10" t="str">
        <f aca="false">IF(OR(L16="",M16=""),"",EDATE(L16,M16))</f>
        <v/>
      </c>
      <c r="O16" s="6" t="str">
        <f aca="true">IF(N16="","",IF(N16&lt;TODAY(),"OVERDUE",IF(N16-TODAY()&lt;=30,"Due soon","Current")))</f>
        <v/>
      </c>
      <c r="P16" s="5"/>
    </row>
    <row r="17" customFormat="false" ht="15" hidden="false" customHeight="false" outlineLevel="0" collapsed="false">
      <c r="A17" s="5"/>
      <c r="B17" s="5"/>
      <c r="C17" s="5"/>
      <c r="D17" s="5"/>
      <c r="E17" s="5"/>
      <c r="F17" s="5"/>
      <c r="G17" s="5"/>
      <c r="H17" s="5"/>
      <c r="I17" s="5"/>
      <c r="J17" s="5"/>
      <c r="K17" s="6" t="str">
        <f aca="false">IF(OR(I17="",J17=""),"",CHOOSE(MAX(1,MIN(4,MATCH(I17,{"Low","Medium","High","Extreme"},0)+IF(J17="Effective",-1,IF(J17="Ineffective",1,0)))),"Low","Medium","High","Extreme"))</f>
        <v/>
      </c>
      <c r="L17" s="11"/>
      <c r="M17" s="5"/>
      <c r="N17" s="10" t="str">
        <f aca="false">IF(OR(L17="",M17=""),"",EDATE(L17,M17))</f>
        <v/>
      </c>
      <c r="O17" s="6" t="str">
        <f aca="true">IF(N17="","",IF(N17&lt;TODAY(),"OVERDUE",IF(N17-TODAY()&lt;=30,"Due soon","Current")))</f>
        <v/>
      </c>
      <c r="P17" s="5"/>
    </row>
    <row r="18" customFormat="false" ht="15" hidden="false" customHeight="false" outlineLevel="0" collapsed="false">
      <c r="A18" s="5"/>
      <c r="B18" s="5"/>
      <c r="C18" s="5"/>
      <c r="D18" s="5"/>
      <c r="E18" s="5"/>
      <c r="F18" s="5"/>
      <c r="G18" s="5"/>
      <c r="H18" s="5"/>
      <c r="I18" s="5"/>
      <c r="J18" s="5"/>
      <c r="K18" s="6" t="str">
        <f aca="false">IF(OR(I18="",J18=""),"",CHOOSE(MAX(1,MIN(4,MATCH(I18,{"Low","Medium","High","Extreme"},0)+IF(J18="Effective",-1,IF(J18="Ineffective",1,0)))),"Low","Medium","High","Extreme"))</f>
        <v/>
      </c>
      <c r="L18" s="11"/>
      <c r="M18" s="5"/>
      <c r="N18" s="10" t="str">
        <f aca="false">IF(OR(L18="",M18=""),"",EDATE(L18,M18))</f>
        <v/>
      </c>
      <c r="O18" s="6" t="str">
        <f aca="true">IF(N18="","",IF(N18&lt;TODAY(),"OVERDUE",IF(N18-TODAY()&lt;=30,"Due soon","Current")))</f>
        <v/>
      </c>
      <c r="P18" s="5"/>
    </row>
    <row r="19" customFormat="false" ht="15" hidden="false" customHeight="false" outlineLevel="0" collapsed="false">
      <c r="A19" s="5"/>
      <c r="B19" s="5"/>
      <c r="C19" s="5"/>
      <c r="D19" s="5"/>
      <c r="E19" s="5"/>
      <c r="F19" s="5"/>
      <c r="G19" s="5"/>
      <c r="H19" s="5"/>
      <c r="I19" s="5"/>
      <c r="J19" s="5"/>
      <c r="K19" s="6" t="str">
        <f aca="false">IF(OR(I19="",J19=""),"",CHOOSE(MAX(1,MIN(4,MATCH(I19,{"Low","Medium","High","Extreme"},0)+IF(J19="Effective",-1,IF(J19="Ineffective",1,0)))),"Low","Medium","High","Extreme"))</f>
        <v/>
      </c>
      <c r="L19" s="11"/>
      <c r="M19" s="5"/>
      <c r="N19" s="10" t="str">
        <f aca="false">IF(OR(L19="",M19=""),"",EDATE(L19,M19))</f>
        <v/>
      </c>
      <c r="O19" s="6" t="str">
        <f aca="true">IF(N19="","",IF(N19&lt;TODAY(),"OVERDUE",IF(N19-TODAY()&lt;=30,"Due soon","Current")))</f>
        <v/>
      </c>
      <c r="P19" s="5"/>
    </row>
    <row r="20" customFormat="false" ht="15" hidden="false" customHeight="false" outlineLevel="0" collapsed="false">
      <c r="A20" s="5"/>
      <c r="B20" s="5"/>
      <c r="C20" s="5"/>
      <c r="D20" s="5"/>
      <c r="E20" s="5"/>
      <c r="F20" s="5"/>
      <c r="G20" s="5"/>
      <c r="H20" s="5"/>
      <c r="I20" s="5"/>
      <c r="J20" s="5"/>
      <c r="K20" s="6" t="str">
        <f aca="false">IF(OR(I20="",J20=""),"",CHOOSE(MAX(1,MIN(4,MATCH(I20,{"Low","Medium","High","Extreme"},0)+IF(J20="Effective",-1,IF(J20="Ineffective",1,0)))),"Low","Medium","High","Extreme"))</f>
        <v/>
      </c>
      <c r="L20" s="11"/>
      <c r="M20" s="5"/>
      <c r="N20" s="10" t="str">
        <f aca="false">IF(OR(L20="",M20=""),"",EDATE(L20,M20))</f>
        <v/>
      </c>
      <c r="O20" s="6" t="str">
        <f aca="true">IF(N20="","",IF(N20&lt;TODAY(),"OVERDUE",IF(N20-TODAY()&lt;=30,"Due soon","Current")))</f>
        <v/>
      </c>
      <c r="P20" s="5"/>
    </row>
    <row r="21" customFormat="false" ht="15" hidden="false" customHeight="false" outlineLevel="0" collapsed="false">
      <c r="A21" s="5"/>
      <c r="B21" s="5"/>
      <c r="C21" s="5"/>
      <c r="D21" s="5"/>
      <c r="E21" s="5"/>
      <c r="F21" s="5"/>
      <c r="G21" s="5"/>
      <c r="H21" s="5"/>
      <c r="I21" s="5"/>
      <c r="J21" s="5"/>
      <c r="K21" s="6" t="str">
        <f aca="false">IF(OR(I21="",J21=""),"",CHOOSE(MAX(1,MIN(4,MATCH(I21,{"Low","Medium","High","Extreme"},0)+IF(J21="Effective",-1,IF(J21="Ineffective",1,0)))),"Low","Medium","High","Extreme"))</f>
        <v/>
      </c>
      <c r="L21" s="11"/>
      <c r="M21" s="5"/>
      <c r="N21" s="10" t="str">
        <f aca="false">IF(OR(L21="",M21=""),"",EDATE(L21,M21))</f>
        <v/>
      </c>
      <c r="O21" s="6" t="str">
        <f aca="true">IF(N21="","",IF(N21&lt;TODAY(),"OVERDUE",IF(N21-TODAY()&lt;=30,"Due soon","Current")))</f>
        <v/>
      </c>
      <c r="P21" s="5"/>
    </row>
    <row r="22" customFormat="false" ht="15" hidden="false" customHeight="false" outlineLevel="0" collapsed="false">
      <c r="A22" s="5"/>
      <c r="B22" s="5"/>
      <c r="C22" s="5"/>
      <c r="D22" s="5"/>
      <c r="E22" s="5"/>
      <c r="F22" s="5"/>
      <c r="G22" s="5"/>
      <c r="H22" s="5"/>
      <c r="I22" s="5"/>
      <c r="J22" s="5"/>
      <c r="K22" s="6" t="str">
        <f aca="false">IF(OR(I22="",J22=""),"",CHOOSE(MAX(1,MIN(4,MATCH(I22,{"Low","Medium","High","Extreme"},0)+IF(J22="Effective",-1,IF(J22="Ineffective",1,0)))),"Low","Medium","High","Extreme"))</f>
        <v/>
      </c>
      <c r="L22" s="11"/>
      <c r="M22" s="5"/>
      <c r="N22" s="10" t="str">
        <f aca="false">IF(OR(L22="",M22=""),"",EDATE(L22,M22))</f>
        <v/>
      </c>
      <c r="O22" s="6" t="str">
        <f aca="true">IF(N22="","",IF(N22&lt;TODAY(),"OVERDUE",IF(N22-TODAY()&lt;=30,"Due soon","Current")))</f>
        <v/>
      </c>
      <c r="P22" s="5"/>
    </row>
    <row r="23" customFormat="false" ht="15" hidden="false" customHeight="false" outlineLevel="0" collapsed="false">
      <c r="A23" s="5"/>
      <c r="B23" s="5"/>
      <c r="C23" s="5"/>
      <c r="D23" s="5"/>
      <c r="E23" s="5"/>
      <c r="F23" s="5"/>
      <c r="G23" s="5"/>
      <c r="H23" s="5"/>
      <c r="I23" s="5"/>
      <c r="J23" s="5"/>
      <c r="K23" s="6" t="str">
        <f aca="false">IF(OR(I23="",J23=""),"",CHOOSE(MAX(1,MIN(4,MATCH(I23,{"Low","Medium","High","Extreme"},0)+IF(J23="Effective",-1,IF(J23="Ineffective",1,0)))),"Low","Medium","High","Extreme"))</f>
        <v/>
      </c>
      <c r="L23" s="11"/>
      <c r="M23" s="5"/>
      <c r="N23" s="10" t="str">
        <f aca="false">IF(OR(L23="",M23=""),"",EDATE(L23,M23))</f>
        <v/>
      </c>
      <c r="O23" s="6" t="str">
        <f aca="true">IF(N23="","",IF(N23&lt;TODAY(),"OVERDUE",IF(N23-TODAY()&lt;=30,"Due soon","Current")))</f>
        <v/>
      </c>
      <c r="P23" s="5"/>
    </row>
    <row r="24" customFormat="false" ht="15" hidden="false" customHeight="false" outlineLevel="0" collapsed="false">
      <c r="A24" s="5"/>
      <c r="B24" s="5"/>
      <c r="C24" s="5"/>
      <c r="D24" s="5"/>
      <c r="E24" s="5"/>
      <c r="F24" s="5"/>
      <c r="G24" s="5"/>
      <c r="H24" s="5"/>
      <c r="I24" s="5"/>
      <c r="J24" s="5"/>
      <c r="K24" s="6" t="str">
        <f aca="false">IF(OR(I24="",J24=""),"",CHOOSE(MAX(1,MIN(4,MATCH(I24,{"Low","Medium","High","Extreme"},0)+IF(J24="Effective",-1,IF(J24="Ineffective",1,0)))),"Low","Medium","High","Extreme"))</f>
        <v/>
      </c>
      <c r="L24" s="11"/>
      <c r="M24" s="5"/>
      <c r="N24" s="10" t="str">
        <f aca="false">IF(OR(L24="",M24=""),"",EDATE(L24,M24))</f>
        <v/>
      </c>
      <c r="O24" s="6" t="str">
        <f aca="true">IF(N24="","",IF(N24&lt;TODAY(),"OVERDUE",IF(N24-TODAY()&lt;=30,"Due soon","Current")))</f>
        <v/>
      </c>
      <c r="P24" s="5"/>
    </row>
    <row r="25" customFormat="false" ht="15" hidden="false" customHeight="false" outlineLevel="0" collapsed="false">
      <c r="A25" s="5"/>
      <c r="B25" s="5"/>
      <c r="C25" s="5"/>
      <c r="D25" s="5"/>
      <c r="E25" s="5"/>
      <c r="F25" s="5"/>
      <c r="G25" s="5"/>
      <c r="H25" s="5"/>
      <c r="I25" s="5"/>
      <c r="J25" s="5"/>
      <c r="K25" s="6" t="str">
        <f aca="false">IF(OR(I25="",J25=""),"",CHOOSE(MAX(1,MIN(4,MATCH(I25,{"Low","Medium","High","Extreme"},0)+IF(J25="Effective",-1,IF(J25="Ineffective",1,0)))),"Low","Medium","High","Extreme"))</f>
        <v/>
      </c>
      <c r="L25" s="11"/>
      <c r="M25" s="5"/>
      <c r="N25" s="10" t="str">
        <f aca="false">IF(OR(L25="",M25=""),"",EDATE(L25,M25))</f>
        <v/>
      </c>
      <c r="O25" s="6" t="str">
        <f aca="true">IF(N25="","",IF(N25&lt;TODAY(),"OVERDUE",IF(N25-TODAY()&lt;=30,"Due soon","Current")))</f>
        <v/>
      </c>
      <c r="P25" s="5"/>
    </row>
    <row r="26" customFormat="false" ht="15" hidden="false" customHeight="false" outlineLevel="0" collapsed="false">
      <c r="A26" s="5"/>
      <c r="B26" s="5"/>
      <c r="C26" s="5"/>
      <c r="D26" s="5"/>
      <c r="E26" s="5"/>
      <c r="F26" s="5"/>
      <c r="G26" s="5"/>
      <c r="H26" s="5"/>
      <c r="I26" s="5"/>
      <c r="J26" s="5"/>
      <c r="K26" s="6" t="str">
        <f aca="false">IF(OR(I26="",J26=""),"",CHOOSE(MAX(1,MIN(4,MATCH(I26,{"Low","Medium","High","Extreme"},0)+IF(J26="Effective",-1,IF(J26="Ineffective",1,0)))),"Low","Medium","High","Extreme"))</f>
        <v/>
      </c>
      <c r="L26" s="11"/>
      <c r="M26" s="5"/>
      <c r="N26" s="10" t="str">
        <f aca="false">IF(OR(L26="",M26=""),"",EDATE(L26,M26))</f>
        <v/>
      </c>
      <c r="O26" s="6" t="str">
        <f aca="true">IF(N26="","",IF(N26&lt;TODAY(),"OVERDUE",IF(N26-TODAY()&lt;=30,"Due soon","Current")))</f>
        <v/>
      </c>
      <c r="P26" s="5"/>
    </row>
    <row r="27" customFormat="false" ht="15" hidden="false" customHeight="false" outlineLevel="0" collapsed="false">
      <c r="A27" s="5"/>
      <c r="B27" s="5"/>
      <c r="C27" s="5"/>
      <c r="D27" s="5"/>
      <c r="E27" s="5"/>
      <c r="F27" s="5"/>
      <c r="G27" s="5"/>
      <c r="H27" s="5"/>
      <c r="I27" s="5"/>
      <c r="J27" s="5"/>
      <c r="K27" s="6" t="str">
        <f aca="false">IF(OR(I27="",J27=""),"",CHOOSE(MAX(1,MIN(4,MATCH(I27,{"Low","Medium","High","Extreme"},0)+IF(J27="Effective",-1,IF(J27="Ineffective",1,0)))),"Low","Medium","High","Extreme"))</f>
        <v/>
      </c>
      <c r="L27" s="11"/>
      <c r="M27" s="5"/>
      <c r="N27" s="10" t="str">
        <f aca="false">IF(OR(L27="",M27=""),"",EDATE(L27,M27))</f>
        <v/>
      </c>
      <c r="O27" s="6" t="str">
        <f aca="true">IF(N27="","",IF(N27&lt;TODAY(),"OVERDUE",IF(N27-TODAY()&lt;=30,"Due soon","Current")))</f>
        <v/>
      </c>
      <c r="P27" s="5"/>
    </row>
    <row r="28" customFormat="false" ht="15" hidden="false" customHeight="false" outlineLevel="0" collapsed="false">
      <c r="A28" s="5"/>
      <c r="B28" s="5"/>
      <c r="C28" s="5"/>
      <c r="D28" s="5"/>
      <c r="E28" s="5"/>
      <c r="F28" s="5"/>
      <c r="G28" s="5"/>
      <c r="H28" s="5"/>
      <c r="I28" s="5"/>
      <c r="J28" s="5"/>
      <c r="K28" s="6" t="str">
        <f aca="false">IF(OR(I28="",J28=""),"",CHOOSE(MAX(1,MIN(4,MATCH(I28,{"Low","Medium","High","Extreme"},0)+IF(J28="Effective",-1,IF(J28="Ineffective",1,0)))),"Low","Medium","High","Extreme"))</f>
        <v/>
      </c>
      <c r="L28" s="11"/>
      <c r="M28" s="5"/>
      <c r="N28" s="10" t="str">
        <f aca="false">IF(OR(L28="",M28=""),"",EDATE(L28,M28))</f>
        <v/>
      </c>
      <c r="O28" s="6" t="str">
        <f aca="true">IF(N28="","",IF(N28&lt;TODAY(),"OVERDUE",IF(N28-TODAY()&lt;=30,"Due soon","Current")))</f>
        <v/>
      </c>
      <c r="P28" s="5"/>
    </row>
    <row r="29" customFormat="false" ht="15" hidden="false" customHeight="false" outlineLevel="0" collapsed="false">
      <c r="A29" s="5"/>
      <c r="B29" s="5"/>
      <c r="C29" s="5"/>
      <c r="D29" s="5"/>
      <c r="E29" s="5"/>
      <c r="F29" s="5"/>
      <c r="G29" s="5"/>
      <c r="H29" s="5"/>
      <c r="I29" s="5"/>
      <c r="J29" s="5"/>
      <c r="K29" s="6" t="str">
        <f aca="false">IF(OR(I29="",J29=""),"",CHOOSE(MAX(1,MIN(4,MATCH(I29,{"Low","Medium","High","Extreme"},0)+IF(J29="Effective",-1,IF(J29="Ineffective",1,0)))),"Low","Medium","High","Extreme"))</f>
        <v/>
      </c>
      <c r="L29" s="11"/>
      <c r="M29" s="5"/>
      <c r="N29" s="10" t="str">
        <f aca="false">IF(OR(L29="",M29=""),"",EDATE(L29,M29))</f>
        <v/>
      </c>
      <c r="O29" s="6" t="str">
        <f aca="true">IF(N29="","",IF(N29&lt;TODAY(),"OVERDUE",IF(N29-TODAY()&lt;=30,"Due soon","Current")))</f>
        <v/>
      </c>
      <c r="P29" s="5"/>
    </row>
    <row r="30" customFormat="false" ht="15" hidden="false" customHeight="false" outlineLevel="0" collapsed="false">
      <c r="A30" s="5"/>
      <c r="B30" s="5"/>
      <c r="C30" s="5"/>
      <c r="D30" s="5"/>
      <c r="E30" s="5"/>
      <c r="F30" s="5"/>
      <c r="G30" s="5"/>
      <c r="H30" s="5"/>
      <c r="I30" s="5"/>
      <c r="J30" s="5"/>
      <c r="K30" s="6" t="str">
        <f aca="false">IF(OR(I30="",J30=""),"",CHOOSE(MAX(1,MIN(4,MATCH(I30,{"Low","Medium","High","Extreme"},0)+IF(J30="Effective",-1,IF(J30="Ineffective",1,0)))),"Low","Medium","High","Extreme"))</f>
        <v/>
      </c>
      <c r="L30" s="11"/>
      <c r="M30" s="5"/>
      <c r="N30" s="10" t="str">
        <f aca="false">IF(OR(L30="",M30=""),"",EDATE(L30,M30))</f>
        <v/>
      </c>
      <c r="O30" s="6" t="str">
        <f aca="true">IF(N30="","",IF(N30&lt;TODAY(),"OVERDUE",IF(N30-TODAY()&lt;=30,"Due soon","Current")))</f>
        <v/>
      </c>
      <c r="P30" s="5"/>
    </row>
    <row r="31" customFormat="false" ht="15" hidden="false" customHeight="false" outlineLevel="0" collapsed="false">
      <c r="A31" s="5"/>
      <c r="B31" s="5"/>
      <c r="C31" s="5"/>
      <c r="D31" s="5"/>
      <c r="E31" s="5"/>
      <c r="F31" s="5"/>
      <c r="G31" s="5"/>
      <c r="H31" s="5"/>
      <c r="I31" s="5"/>
      <c r="J31" s="5"/>
      <c r="K31" s="6" t="str">
        <f aca="false">IF(OR(I31="",J31=""),"",CHOOSE(MAX(1,MIN(4,MATCH(I31,{"Low","Medium","High","Extreme"},0)+IF(J31="Effective",-1,IF(J31="Ineffective",1,0)))),"Low","Medium","High","Extreme"))</f>
        <v/>
      </c>
      <c r="L31" s="11"/>
      <c r="M31" s="5"/>
      <c r="N31" s="10" t="str">
        <f aca="false">IF(OR(L31="",M31=""),"",EDATE(L31,M31))</f>
        <v/>
      </c>
      <c r="O31" s="6" t="str">
        <f aca="true">IF(N31="","",IF(N31&lt;TODAY(),"OVERDUE",IF(N31-TODAY()&lt;=30,"Due soon","Current")))</f>
        <v/>
      </c>
      <c r="P31" s="5"/>
    </row>
    <row r="32" customFormat="false" ht="15" hidden="false" customHeight="false" outlineLevel="0" collapsed="false">
      <c r="A32" s="5"/>
      <c r="B32" s="5"/>
      <c r="C32" s="5"/>
      <c r="D32" s="5"/>
      <c r="E32" s="5"/>
      <c r="F32" s="5"/>
      <c r="G32" s="5"/>
      <c r="H32" s="5"/>
      <c r="I32" s="5"/>
      <c r="J32" s="5"/>
      <c r="K32" s="6" t="str">
        <f aca="false">IF(OR(I32="",J32=""),"",CHOOSE(MAX(1,MIN(4,MATCH(I32,{"Low","Medium","High","Extreme"},0)+IF(J32="Effective",-1,IF(J32="Ineffective",1,0)))),"Low","Medium","High","Extreme"))</f>
        <v/>
      </c>
      <c r="L32" s="11"/>
      <c r="M32" s="5"/>
      <c r="N32" s="10" t="str">
        <f aca="false">IF(OR(L32="",M32=""),"",EDATE(L32,M32))</f>
        <v/>
      </c>
      <c r="O32" s="6" t="str">
        <f aca="true">IF(N32="","",IF(N32&lt;TODAY(),"OVERDUE",IF(N32-TODAY()&lt;=30,"Due soon","Current")))</f>
        <v/>
      </c>
      <c r="P32" s="5"/>
    </row>
    <row r="33" customFormat="false" ht="15" hidden="false" customHeight="false" outlineLevel="0" collapsed="false">
      <c r="A33" s="5"/>
      <c r="B33" s="5"/>
      <c r="C33" s="5"/>
      <c r="D33" s="5"/>
      <c r="E33" s="5"/>
      <c r="F33" s="5"/>
      <c r="G33" s="5"/>
      <c r="H33" s="5"/>
      <c r="I33" s="5"/>
      <c r="J33" s="5"/>
      <c r="K33" s="6" t="str">
        <f aca="false">IF(OR(I33="",J33=""),"",CHOOSE(MAX(1,MIN(4,MATCH(I33,{"Low","Medium","High","Extreme"},0)+IF(J33="Effective",-1,IF(J33="Ineffective",1,0)))),"Low","Medium","High","Extreme"))</f>
        <v/>
      </c>
      <c r="L33" s="11"/>
      <c r="M33" s="5"/>
      <c r="N33" s="10" t="str">
        <f aca="false">IF(OR(L33="",M33=""),"",EDATE(L33,M33))</f>
        <v/>
      </c>
      <c r="O33" s="6" t="str">
        <f aca="true">IF(N33="","",IF(N33&lt;TODAY(),"OVERDUE",IF(N33-TODAY()&lt;=30,"Due soon","Current")))</f>
        <v/>
      </c>
      <c r="P33" s="5"/>
    </row>
    <row r="34" customFormat="false" ht="15" hidden="false" customHeight="false" outlineLevel="0" collapsed="false">
      <c r="A34" s="5"/>
      <c r="B34" s="5"/>
      <c r="C34" s="5"/>
      <c r="D34" s="5"/>
      <c r="E34" s="5"/>
      <c r="F34" s="5"/>
      <c r="G34" s="5"/>
      <c r="H34" s="5"/>
      <c r="I34" s="5"/>
      <c r="J34" s="5"/>
      <c r="K34" s="6" t="str">
        <f aca="false">IF(OR(I34="",J34=""),"",CHOOSE(MAX(1,MIN(4,MATCH(I34,{"Low","Medium","High","Extreme"},0)+IF(J34="Effective",-1,IF(J34="Ineffective",1,0)))),"Low","Medium","High","Extreme"))</f>
        <v/>
      </c>
      <c r="L34" s="11"/>
      <c r="M34" s="5"/>
      <c r="N34" s="10" t="str">
        <f aca="false">IF(OR(L34="",M34=""),"",EDATE(L34,M34))</f>
        <v/>
      </c>
      <c r="O34" s="6" t="str">
        <f aca="true">IF(N34="","",IF(N34&lt;TODAY(),"OVERDUE",IF(N34-TODAY()&lt;=30,"Due soon","Current")))</f>
        <v/>
      </c>
      <c r="P34" s="5"/>
    </row>
    <row r="35" customFormat="false" ht="15" hidden="false" customHeight="false" outlineLevel="0" collapsed="false">
      <c r="A35" s="5"/>
      <c r="B35" s="5"/>
      <c r="C35" s="5"/>
      <c r="D35" s="5"/>
      <c r="E35" s="5"/>
      <c r="F35" s="5"/>
      <c r="G35" s="5"/>
      <c r="H35" s="5"/>
      <c r="I35" s="5"/>
      <c r="J35" s="5"/>
      <c r="K35" s="6" t="str">
        <f aca="false">IF(OR(I35="",J35=""),"",CHOOSE(MAX(1,MIN(4,MATCH(I35,{"Low","Medium","High","Extreme"},0)+IF(J35="Effective",-1,IF(J35="Ineffective",1,0)))),"Low","Medium","High","Extreme"))</f>
        <v/>
      </c>
      <c r="L35" s="11"/>
      <c r="M35" s="5"/>
      <c r="N35" s="10" t="str">
        <f aca="false">IF(OR(L35="",M35=""),"",EDATE(L35,M35))</f>
        <v/>
      </c>
      <c r="O35" s="6" t="str">
        <f aca="true">IF(N35="","",IF(N35&lt;TODAY(),"OVERDUE",IF(N35-TODAY()&lt;=30,"Due soon","Current")))</f>
        <v/>
      </c>
      <c r="P35" s="5"/>
    </row>
    <row r="36" customFormat="false" ht="15" hidden="false" customHeight="false" outlineLevel="0" collapsed="false">
      <c r="A36" s="5"/>
      <c r="B36" s="5"/>
      <c r="C36" s="5"/>
      <c r="D36" s="5"/>
      <c r="E36" s="5"/>
      <c r="F36" s="5"/>
      <c r="G36" s="5"/>
      <c r="H36" s="5"/>
      <c r="I36" s="5"/>
      <c r="J36" s="5"/>
      <c r="K36" s="6" t="str">
        <f aca="false">IF(OR(I36="",J36=""),"",CHOOSE(MAX(1,MIN(4,MATCH(I36,{"Low","Medium","High","Extreme"},0)+IF(J36="Effective",-1,IF(J36="Ineffective",1,0)))),"Low","Medium","High","Extreme"))</f>
        <v/>
      </c>
      <c r="L36" s="11"/>
      <c r="M36" s="5"/>
      <c r="N36" s="10" t="str">
        <f aca="false">IF(OR(L36="",M36=""),"",EDATE(L36,M36))</f>
        <v/>
      </c>
      <c r="O36" s="6" t="str">
        <f aca="true">IF(N36="","",IF(N36&lt;TODAY(),"OVERDUE",IF(N36-TODAY()&lt;=30,"Due soon","Current")))</f>
        <v/>
      </c>
      <c r="P36" s="5"/>
    </row>
    <row r="37" customFormat="false" ht="15" hidden="false" customHeight="false" outlineLevel="0" collapsed="false">
      <c r="A37" s="5"/>
      <c r="B37" s="5"/>
      <c r="C37" s="5"/>
      <c r="D37" s="5"/>
      <c r="E37" s="5"/>
      <c r="F37" s="5"/>
      <c r="G37" s="5"/>
      <c r="H37" s="5"/>
      <c r="I37" s="5"/>
      <c r="J37" s="5"/>
      <c r="K37" s="6" t="str">
        <f aca="false">IF(OR(I37="",J37=""),"",CHOOSE(MAX(1,MIN(4,MATCH(I37,{"Low","Medium","High","Extreme"},0)+IF(J37="Effective",-1,IF(J37="Ineffective",1,0)))),"Low","Medium","High","Extreme"))</f>
        <v/>
      </c>
      <c r="L37" s="11"/>
      <c r="M37" s="5"/>
      <c r="N37" s="10" t="str">
        <f aca="false">IF(OR(L37="",M37=""),"",EDATE(L37,M37))</f>
        <v/>
      </c>
      <c r="O37" s="6" t="str">
        <f aca="true">IF(N37="","",IF(N37&lt;TODAY(),"OVERDUE",IF(N37-TODAY()&lt;=30,"Due soon","Current")))</f>
        <v/>
      </c>
      <c r="P37" s="5"/>
    </row>
    <row r="38" customFormat="false" ht="15" hidden="false" customHeight="false" outlineLevel="0" collapsed="false">
      <c r="A38" s="5"/>
      <c r="B38" s="5"/>
      <c r="C38" s="5"/>
      <c r="D38" s="5"/>
      <c r="E38" s="5"/>
      <c r="F38" s="5"/>
      <c r="G38" s="5"/>
      <c r="H38" s="5"/>
      <c r="I38" s="5"/>
      <c r="J38" s="5"/>
      <c r="K38" s="6" t="str">
        <f aca="false">IF(OR(I38="",J38=""),"",CHOOSE(MAX(1,MIN(4,MATCH(I38,{"Low","Medium","High","Extreme"},0)+IF(J38="Effective",-1,IF(J38="Ineffective",1,0)))),"Low","Medium","High","Extreme"))</f>
        <v/>
      </c>
      <c r="L38" s="11"/>
      <c r="M38" s="5"/>
      <c r="N38" s="10" t="str">
        <f aca="false">IF(OR(L38="",M38=""),"",EDATE(L38,M38))</f>
        <v/>
      </c>
      <c r="O38" s="6" t="str">
        <f aca="true">IF(N38="","",IF(N38&lt;TODAY(),"OVERDUE",IF(N38-TODAY()&lt;=30,"Due soon","Current")))</f>
        <v/>
      </c>
      <c r="P38" s="5"/>
    </row>
    <row r="39" customFormat="false" ht="15" hidden="false" customHeight="false" outlineLevel="0" collapsed="false">
      <c r="A39" s="5"/>
      <c r="B39" s="5"/>
      <c r="C39" s="5"/>
      <c r="D39" s="5"/>
      <c r="E39" s="5"/>
      <c r="F39" s="5"/>
      <c r="G39" s="5"/>
      <c r="H39" s="5"/>
      <c r="I39" s="5"/>
      <c r="J39" s="5"/>
      <c r="K39" s="6" t="str">
        <f aca="false">IF(OR(I39="",J39=""),"",CHOOSE(MAX(1,MIN(4,MATCH(I39,{"Low","Medium","High","Extreme"},0)+IF(J39="Effective",-1,IF(J39="Ineffective",1,0)))),"Low","Medium","High","Extreme"))</f>
        <v/>
      </c>
      <c r="L39" s="11"/>
      <c r="M39" s="5"/>
      <c r="N39" s="10" t="str">
        <f aca="false">IF(OR(L39="",M39=""),"",EDATE(L39,M39))</f>
        <v/>
      </c>
      <c r="O39" s="6" t="str">
        <f aca="true">IF(N39="","",IF(N39&lt;TODAY(),"OVERDUE",IF(N39-TODAY()&lt;=30,"Due soon","Current")))</f>
        <v/>
      </c>
      <c r="P39" s="5"/>
    </row>
    <row r="40" customFormat="false" ht="15" hidden="false" customHeight="false" outlineLevel="0" collapsed="false">
      <c r="A40" s="5"/>
      <c r="B40" s="5"/>
      <c r="C40" s="5"/>
      <c r="D40" s="5"/>
      <c r="E40" s="5"/>
      <c r="F40" s="5"/>
      <c r="G40" s="5"/>
      <c r="H40" s="5"/>
      <c r="I40" s="5"/>
      <c r="J40" s="5"/>
      <c r="K40" s="6" t="str">
        <f aca="false">IF(OR(I40="",J40=""),"",CHOOSE(MAX(1,MIN(4,MATCH(I40,{"Low","Medium","High","Extreme"},0)+IF(J40="Effective",-1,IF(J40="Ineffective",1,0)))),"Low","Medium","High","Extreme"))</f>
        <v/>
      </c>
      <c r="L40" s="11"/>
      <c r="M40" s="5"/>
      <c r="N40" s="10" t="str">
        <f aca="false">IF(OR(L40="",M40=""),"",EDATE(L40,M40))</f>
        <v/>
      </c>
      <c r="O40" s="6" t="str">
        <f aca="true">IF(N40="","",IF(N40&lt;TODAY(),"OVERDUE",IF(N40-TODAY()&lt;=30,"Due soon","Current")))</f>
        <v/>
      </c>
      <c r="P40" s="5"/>
    </row>
    <row r="41" customFormat="false" ht="15" hidden="false" customHeight="false" outlineLevel="0" collapsed="false">
      <c r="A41" s="5"/>
      <c r="B41" s="5"/>
      <c r="C41" s="5"/>
      <c r="D41" s="5"/>
      <c r="E41" s="5"/>
      <c r="F41" s="5"/>
      <c r="G41" s="5"/>
      <c r="H41" s="5"/>
      <c r="I41" s="5"/>
      <c r="J41" s="5"/>
      <c r="K41" s="6" t="str">
        <f aca="false">IF(OR(I41="",J41=""),"",CHOOSE(MAX(1,MIN(4,MATCH(I41,{"Low","Medium","High","Extreme"},0)+IF(J41="Effective",-1,IF(J41="Ineffective",1,0)))),"Low","Medium","High","Extreme"))</f>
        <v/>
      </c>
      <c r="L41" s="11"/>
      <c r="M41" s="5"/>
      <c r="N41" s="10" t="str">
        <f aca="false">IF(OR(L41="",M41=""),"",EDATE(L41,M41))</f>
        <v/>
      </c>
      <c r="O41" s="6" t="str">
        <f aca="true">IF(N41="","",IF(N41&lt;TODAY(),"OVERDUE",IF(N41-TODAY()&lt;=30,"Due soon","Current")))</f>
        <v/>
      </c>
      <c r="P41" s="5"/>
    </row>
    <row r="42" customFormat="false" ht="15" hidden="false" customHeight="false" outlineLevel="0" collapsed="false">
      <c r="A42" s="5"/>
      <c r="B42" s="5"/>
      <c r="C42" s="5"/>
      <c r="D42" s="5"/>
      <c r="E42" s="5"/>
      <c r="F42" s="5"/>
      <c r="G42" s="5"/>
      <c r="H42" s="5"/>
      <c r="I42" s="5"/>
      <c r="J42" s="5"/>
      <c r="K42" s="6" t="str">
        <f aca="false">IF(OR(I42="",J42=""),"",CHOOSE(MAX(1,MIN(4,MATCH(I42,{"Low","Medium","High","Extreme"},0)+IF(J42="Effective",-1,IF(J42="Ineffective",1,0)))),"Low","Medium","High","Extreme"))</f>
        <v/>
      </c>
      <c r="L42" s="11"/>
      <c r="M42" s="5"/>
      <c r="N42" s="10" t="str">
        <f aca="false">IF(OR(L42="",M42=""),"",EDATE(L42,M42))</f>
        <v/>
      </c>
      <c r="O42" s="6" t="str">
        <f aca="true">IF(N42="","",IF(N42&lt;TODAY(),"OVERDUE",IF(N42-TODAY()&lt;=30,"Due soon","Current")))</f>
        <v/>
      </c>
      <c r="P42" s="5"/>
    </row>
    <row r="43" customFormat="false" ht="15" hidden="false" customHeight="false" outlineLevel="0" collapsed="false">
      <c r="A43" s="5"/>
      <c r="B43" s="5"/>
      <c r="C43" s="5"/>
      <c r="D43" s="5"/>
      <c r="E43" s="5"/>
      <c r="F43" s="5"/>
      <c r="G43" s="5"/>
      <c r="H43" s="5"/>
      <c r="I43" s="5"/>
      <c r="J43" s="5"/>
      <c r="K43" s="6" t="str">
        <f aca="false">IF(OR(I43="",J43=""),"",CHOOSE(MAX(1,MIN(4,MATCH(I43,{"Low","Medium","High","Extreme"},0)+IF(J43="Effective",-1,IF(J43="Ineffective",1,0)))),"Low","Medium","High","Extreme"))</f>
        <v/>
      </c>
      <c r="L43" s="11"/>
      <c r="M43" s="5"/>
      <c r="N43" s="10" t="str">
        <f aca="false">IF(OR(L43="",M43=""),"",EDATE(L43,M43))</f>
        <v/>
      </c>
      <c r="O43" s="6" t="str">
        <f aca="true">IF(N43="","",IF(N43&lt;TODAY(),"OVERDUE",IF(N43-TODAY()&lt;=30,"Due soon","Current")))</f>
        <v/>
      </c>
      <c r="P43" s="5"/>
    </row>
    <row r="44" customFormat="false" ht="15" hidden="false" customHeight="false" outlineLevel="0" collapsed="false">
      <c r="A44" s="5"/>
      <c r="B44" s="5"/>
      <c r="C44" s="5"/>
      <c r="D44" s="5"/>
      <c r="E44" s="5"/>
      <c r="F44" s="5"/>
      <c r="G44" s="5"/>
      <c r="H44" s="5"/>
      <c r="I44" s="5"/>
      <c r="J44" s="5"/>
      <c r="K44" s="6" t="str">
        <f aca="false">IF(OR(I44="",J44=""),"",CHOOSE(MAX(1,MIN(4,MATCH(I44,{"Low","Medium","High","Extreme"},0)+IF(J44="Effective",-1,IF(J44="Ineffective",1,0)))),"Low","Medium","High","Extreme"))</f>
        <v/>
      </c>
      <c r="L44" s="11"/>
      <c r="M44" s="5"/>
      <c r="N44" s="10" t="str">
        <f aca="false">IF(OR(L44="",M44=""),"",EDATE(L44,M44))</f>
        <v/>
      </c>
      <c r="O44" s="6" t="str">
        <f aca="true">IF(N44="","",IF(N44&lt;TODAY(),"OVERDUE",IF(N44-TODAY()&lt;=30,"Due soon","Current")))</f>
        <v/>
      </c>
      <c r="P44" s="5"/>
    </row>
    <row r="45" customFormat="false" ht="15" hidden="false" customHeight="false" outlineLevel="0" collapsed="false">
      <c r="A45" s="5"/>
      <c r="B45" s="5"/>
      <c r="C45" s="5"/>
      <c r="D45" s="5"/>
      <c r="E45" s="5"/>
      <c r="F45" s="5"/>
      <c r="G45" s="5"/>
      <c r="H45" s="5"/>
      <c r="I45" s="5"/>
      <c r="J45" s="5"/>
      <c r="K45" s="6" t="str">
        <f aca="false">IF(OR(I45="",J45=""),"",CHOOSE(MAX(1,MIN(4,MATCH(I45,{"Low","Medium","High","Extreme"},0)+IF(J45="Effective",-1,IF(J45="Ineffective",1,0)))),"Low","Medium","High","Extreme"))</f>
        <v/>
      </c>
      <c r="L45" s="11"/>
      <c r="M45" s="5"/>
      <c r="N45" s="10" t="str">
        <f aca="false">IF(OR(L45="",M45=""),"",EDATE(L45,M45))</f>
        <v/>
      </c>
      <c r="O45" s="6" t="str">
        <f aca="true">IF(N45="","",IF(N45&lt;TODAY(),"OVERDUE",IF(N45-TODAY()&lt;=30,"Due soon","Current")))</f>
        <v/>
      </c>
      <c r="P45" s="5"/>
    </row>
    <row r="46" customFormat="false" ht="15" hidden="false" customHeight="false" outlineLevel="0" collapsed="false">
      <c r="A46" s="5"/>
      <c r="B46" s="5"/>
      <c r="C46" s="5"/>
      <c r="D46" s="5"/>
      <c r="E46" s="5"/>
      <c r="F46" s="5"/>
      <c r="G46" s="5"/>
      <c r="H46" s="5"/>
      <c r="I46" s="5"/>
      <c r="J46" s="5"/>
      <c r="K46" s="6" t="str">
        <f aca="false">IF(OR(I46="",J46=""),"",CHOOSE(MAX(1,MIN(4,MATCH(I46,{"Low","Medium","High","Extreme"},0)+IF(J46="Effective",-1,IF(J46="Ineffective",1,0)))),"Low","Medium","High","Extreme"))</f>
        <v/>
      </c>
      <c r="L46" s="11"/>
      <c r="M46" s="5"/>
      <c r="N46" s="10" t="str">
        <f aca="false">IF(OR(L46="",M46=""),"",EDATE(L46,M46))</f>
        <v/>
      </c>
      <c r="O46" s="6" t="str">
        <f aca="true">IF(N46="","",IF(N46&lt;TODAY(),"OVERDUE",IF(N46-TODAY()&lt;=30,"Due soon","Current")))</f>
        <v/>
      </c>
      <c r="P46" s="5"/>
    </row>
    <row r="47" customFormat="false" ht="15" hidden="false" customHeight="false" outlineLevel="0" collapsed="false">
      <c r="A47" s="5"/>
      <c r="B47" s="5"/>
      <c r="C47" s="5"/>
      <c r="D47" s="5"/>
      <c r="E47" s="5"/>
      <c r="F47" s="5"/>
      <c r="G47" s="5"/>
      <c r="H47" s="5"/>
      <c r="I47" s="5"/>
      <c r="J47" s="5"/>
      <c r="K47" s="6" t="str">
        <f aca="false">IF(OR(I47="",J47=""),"",CHOOSE(MAX(1,MIN(4,MATCH(I47,{"Low","Medium","High","Extreme"},0)+IF(J47="Effective",-1,IF(J47="Ineffective",1,0)))),"Low","Medium","High","Extreme"))</f>
        <v/>
      </c>
      <c r="L47" s="11"/>
      <c r="M47" s="5"/>
      <c r="N47" s="10" t="str">
        <f aca="false">IF(OR(L47="",M47=""),"",EDATE(L47,M47))</f>
        <v/>
      </c>
      <c r="O47" s="6" t="str">
        <f aca="true">IF(N47="","",IF(N47&lt;TODAY(),"OVERDUE",IF(N47-TODAY()&lt;=30,"Due soon","Current")))</f>
        <v/>
      </c>
      <c r="P47" s="5"/>
    </row>
    <row r="48" customFormat="false" ht="15" hidden="false" customHeight="false" outlineLevel="0" collapsed="false">
      <c r="A48" s="5"/>
      <c r="B48" s="5"/>
      <c r="C48" s="5"/>
      <c r="D48" s="5"/>
      <c r="E48" s="5"/>
      <c r="F48" s="5"/>
      <c r="G48" s="5"/>
      <c r="H48" s="5"/>
      <c r="I48" s="5"/>
      <c r="J48" s="5"/>
      <c r="K48" s="6" t="str">
        <f aca="false">IF(OR(I48="",J48=""),"",CHOOSE(MAX(1,MIN(4,MATCH(I48,{"Low","Medium","High","Extreme"},0)+IF(J48="Effective",-1,IF(J48="Ineffective",1,0)))),"Low","Medium","High","Extreme"))</f>
        <v/>
      </c>
      <c r="L48" s="11"/>
      <c r="M48" s="5"/>
      <c r="N48" s="10" t="str">
        <f aca="false">IF(OR(L48="",M48=""),"",EDATE(L48,M48))</f>
        <v/>
      </c>
      <c r="O48" s="6" t="str">
        <f aca="true">IF(N48="","",IF(N48&lt;TODAY(),"OVERDUE",IF(N48-TODAY()&lt;=30,"Due soon","Current")))</f>
        <v/>
      </c>
      <c r="P48" s="5"/>
    </row>
    <row r="49" customFormat="false" ht="15" hidden="false" customHeight="false" outlineLevel="0" collapsed="false">
      <c r="A49" s="5"/>
      <c r="B49" s="5"/>
      <c r="C49" s="5"/>
      <c r="D49" s="5"/>
      <c r="E49" s="5"/>
      <c r="F49" s="5"/>
      <c r="G49" s="5"/>
      <c r="H49" s="5"/>
      <c r="I49" s="5"/>
      <c r="J49" s="5"/>
      <c r="K49" s="6" t="str">
        <f aca="false">IF(OR(I49="",J49=""),"",CHOOSE(MAX(1,MIN(4,MATCH(I49,{"Low","Medium","High","Extreme"},0)+IF(J49="Effective",-1,IF(J49="Ineffective",1,0)))),"Low","Medium","High","Extreme"))</f>
        <v/>
      </c>
      <c r="L49" s="11"/>
      <c r="M49" s="5"/>
      <c r="N49" s="10" t="str">
        <f aca="false">IF(OR(L49="",M49=""),"",EDATE(L49,M49))</f>
        <v/>
      </c>
      <c r="O49" s="6" t="str">
        <f aca="true">IF(N49="","",IF(N49&lt;TODAY(),"OVERDUE",IF(N49-TODAY()&lt;=30,"Due soon","Current")))</f>
        <v/>
      </c>
      <c r="P49" s="5"/>
    </row>
    <row r="50" customFormat="false" ht="15" hidden="false" customHeight="false" outlineLevel="0" collapsed="false">
      <c r="A50" s="5"/>
      <c r="B50" s="5"/>
      <c r="C50" s="5"/>
      <c r="D50" s="5"/>
      <c r="E50" s="5"/>
      <c r="F50" s="5"/>
      <c r="G50" s="5"/>
      <c r="H50" s="5"/>
      <c r="I50" s="5"/>
      <c r="J50" s="5"/>
      <c r="K50" s="6" t="str">
        <f aca="false">IF(OR(I50="",J50=""),"",CHOOSE(MAX(1,MIN(4,MATCH(I50,{"Low","Medium","High","Extreme"},0)+IF(J50="Effective",-1,IF(J50="Ineffective",1,0)))),"Low","Medium","High","Extreme"))</f>
        <v/>
      </c>
      <c r="L50" s="11"/>
      <c r="M50" s="5"/>
      <c r="N50" s="10" t="str">
        <f aca="false">IF(OR(L50="",M50=""),"",EDATE(L50,M50))</f>
        <v/>
      </c>
      <c r="O50" s="6" t="str">
        <f aca="true">IF(N50="","",IF(N50&lt;TODAY(),"OVERDUE",IF(N50-TODAY()&lt;=30,"Due soon","Current")))</f>
        <v/>
      </c>
      <c r="P50" s="5"/>
    </row>
    <row r="51" customFormat="false" ht="15" hidden="false" customHeight="false" outlineLevel="0" collapsed="false">
      <c r="A51" s="5"/>
      <c r="B51" s="5"/>
      <c r="C51" s="5"/>
      <c r="D51" s="5"/>
      <c r="E51" s="5"/>
      <c r="F51" s="5"/>
      <c r="G51" s="5"/>
      <c r="H51" s="5"/>
      <c r="I51" s="5"/>
      <c r="J51" s="5"/>
      <c r="K51" s="6" t="str">
        <f aca="false">IF(OR(I51="",J51=""),"",CHOOSE(MAX(1,MIN(4,MATCH(I51,{"Low","Medium","High","Extreme"},0)+IF(J51="Effective",-1,IF(J51="Ineffective",1,0)))),"Low","Medium","High","Extreme"))</f>
        <v/>
      </c>
      <c r="L51" s="11"/>
      <c r="M51" s="5"/>
      <c r="N51" s="10" t="str">
        <f aca="false">IF(OR(L51="",M51=""),"",EDATE(L51,M51))</f>
        <v/>
      </c>
      <c r="O51" s="6" t="str">
        <f aca="true">IF(N51="","",IF(N51&lt;TODAY(),"OVERDUE",IF(N51-TODAY()&lt;=30,"Due soon","Current")))</f>
        <v/>
      </c>
      <c r="P51" s="5"/>
    </row>
    <row r="52" customFormat="false" ht="15" hidden="false" customHeight="false" outlineLevel="0" collapsed="false">
      <c r="A52" s="5"/>
      <c r="B52" s="5"/>
      <c r="C52" s="5"/>
      <c r="D52" s="5"/>
      <c r="E52" s="5"/>
      <c r="F52" s="5"/>
      <c r="G52" s="5"/>
      <c r="H52" s="5"/>
      <c r="I52" s="5"/>
      <c r="J52" s="5"/>
      <c r="K52" s="6" t="str">
        <f aca="false">IF(OR(I52="",J52=""),"",CHOOSE(MAX(1,MIN(4,MATCH(I52,{"Low","Medium","High","Extreme"},0)+IF(J52="Effective",-1,IF(J52="Ineffective",1,0)))),"Low","Medium","High","Extreme"))</f>
        <v/>
      </c>
      <c r="L52" s="11"/>
      <c r="M52" s="5"/>
      <c r="N52" s="10" t="str">
        <f aca="false">IF(OR(L52="",M52=""),"",EDATE(L52,M52))</f>
        <v/>
      </c>
      <c r="O52" s="6" t="str">
        <f aca="true">IF(N52="","",IF(N52&lt;TODAY(),"OVERDUE",IF(N52-TODAY()&lt;=30,"Due soon","Current")))</f>
        <v/>
      </c>
      <c r="P52" s="5"/>
    </row>
    <row r="53" customFormat="false" ht="15" hidden="false" customHeight="false" outlineLevel="0" collapsed="false">
      <c r="A53" s="5"/>
      <c r="B53" s="5"/>
      <c r="C53" s="5"/>
      <c r="D53" s="5"/>
      <c r="E53" s="5"/>
      <c r="F53" s="5"/>
      <c r="G53" s="5"/>
      <c r="H53" s="5"/>
      <c r="I53" s="5"/>
      <c r="J53" s="5"/>
      <c r="K53" s="6" t="str">
        <f aca="false">IF(OR(I53="",J53=""),"",CHOOSE(MAX(1,MIN(4,MATCH(I53,{"Low","Medium","High","Extreme"},0)+IF(J53="Effective",-1,IF(J53="Ineffective",1,0)))),"Low","Medium","High","Extreme"))</f>
        <v/>
      </c>
      <c r="L53" s="11"/>
      <c r="M53" s="5"/>
      <c r="N53" s="10" t="str">
        <f aca="false">IF(OR(L53="",M53=""),"",EDATE(L53,M53))</f>
        <v/>
      </c>
      <c r="O53" s="6" t="str">
        <f aca="true">IF(N53="","",IF(N53&lt;TODAY(),"OVERDUE",IF(N53-TODAY()&lt;=30,"Due soon","Current")))</f>
        <v/>
      </c>
      <c r="P53" s="5"/>
    </row>
    <row r="54" customFormat="false" ht="15" hidden="false" customHeight="false" outlineLevel="0" collapsed="false">
      <c r="A54" s="5"/>
      <c r="B54" s="5"/>
      <c r="C54" s="5"/>
      <c r="D54" s="5"/>
      <c r="E54" s="5"/>
      <c r="F54" s="5"/>
      <c r="G54" s="5"/>
      <c r="H54" s="5"/>
      <c r="I54" s="5"/>
      <c r="J54" s="5"/>
      <c r="K54" s="6" t="str">
        <f aca="false">IF(OR(I54="",J54=""),"",CHOOSE(MAX(1,MIN(4,MATCH(I54,{"Low","Medium","High","Extreme"},0)+IF(J54="Effective",-1,IF(J54="Ineffective",1,0)))),"Low","Medium","High","Extreme"))</f>
        <v/>
      </c>
      <c r="L54" s="11"/>
      <c r="M54" s="5"/>
      <c r="N54" s="10" t="str">
        <f aca="false">IF(OR(L54="",M54=""),"",EDATE(L54,M54))</f>
        <v/>
      </c>
      <c r="O54" s="6" t="str">
        <f aca="true">IF(N54="","",IF(N54&lt;TODAY(),"OVERDUE",IF(N54-TODAY()&lt;=30,"Due soon","Current")))</f>
        <v/>
      </c>
      <c r="P54" s="5"/>
    </row>
    <row r="55" customFormat="false" ht="15" hidden="false" customHeight="false" outlineLevel="0" collapsed="false">
      <c r="A55" s="5"/>
      <c r="B55" s="5"/>
      <c r="C55" s="5"/>
      <c r="D55" s="5"/>
      <c r="E55" s="5"/>
      <c r="F55" s="5"/>
      <c r="G55" s="5"/>
      <c r="H55" s="5"/>
      <c r="I55" s="5"/>
      <c r="J55" s="5"/>
      <c r="K55" s="6" t="str">
        <f aca="false">IF(OR(I55="",J55=""),"",CHOOSE(MAX(1,MIN(4,MATCH(I55,{"Low","Medium","High","Extreme"},0)+IF(J55="Effective",-1,IF(J55="Ineffective",1,0)))),"Low","Medium","High","Extreme"))</f>
        <v/>
      </c>
      <c r="L55" s="11"/>
      <c r="M55" s="5"/>
      <c r="N55" s="10" t="str">
        <f aca="false">IF(OR(L55="",M55=""),"",EDATE(L55,M55))</f>
        <v/>
      </c>
      <c r="O55" s="6" t="str">
        <f aca="true">IF(N55="","",IF(N55&lt;TODAY(),"OVERDUE",IF(N55-TODAY()&lt;=30,"Due soon","Current")))</f>
        <v/>
      </c>
      <c r="P55" s="5"/>
    </row>
    <row r="56" customFormat="false" ht="15" hidden="false" customHeight="false" outlineLevel="0" collapsed="false">
      <c r="A56" s="5"/>
      <c r="B56" s="5"/>
      <c r="C56" s="5"/>
      <c r="D56" s="5"/>
      <c r="E56" s="5"/>
      <c r="F56" s="5"/>
      <c r="G56" s="5"/>
      <c r="H56" s="5"/>
      <c r="I56" s="5"/>
      <c r="J56" s="5"/>
      <c r="K56" s="6" t="str">
        <f aca="false">IF(OR(I56="",J56=""),"",CHOOSE(MAX(1,MIN(4,MATCH(I56,{"Low","Medium","High","Extreme"},0)+IF(J56="Effective",-1,IF(J56="Ineffective",1,0)))),"Low","Medium","High","Extreme"))</f>
        <v/>
      </c>
      <c r="L56" s="11"/>
      <c r="M56" s="5"/>
      <c r="N56" s="10" t="str">
        <f aca="false">IF(OR(L56="",M56=""),"",EDATE(L56,M56))</f>
        <v/>
      </c>
      <c r="O56" s="6" t="str">
        <f aca="true">IF(N56="","",IF(N56&lt;TODAY(),"OVERDUE",IF(N56-TODAY()&lt;=30,"Due soon","Current")))</f>
        <v/>
      </c>
      <c r="P56" s="5"/>
    </row>
    <row r="57" customFormat="false" ht="15" hidden="false" customHeight="false" outlineLevel="0" collapsed="false">
      <c r="A57" s="5"/>
      <c r="B57" s="5"/>
      <c r="C57" s="5"/>
      <c r="D57" s="5"/>
      <c r="E57" s="5"/>
      <c r="F57" s="5"/>
      <c r="G57" s="5"/>
      <c r="H57" s="5"/>
      <c r="I57" s="5"/>
      <c r="J57" s="5"/>
      <c r="K57" s="6" t="str">
        <f aca="false">IF(OR(I57="",J57=""),"",CHOOSE(MAX(1,MIN(4,MATCH(I57,{"Low","Medium","High","Extreme"},0)+IF(J57="Effective",-1,IF(J57="Ineffective",1,0)))),"Low","Medium","High","Extreme"))</f>
        <v/>
      </c>
      <c r="L57" s="11"/>
      <c r="M57" s="5"/>
      <c r="N57" s="10" t="str">
        <f aca="false">IF(OR(L57="",M57=""),"",EDATE(L57,M57))</f>
        <v/>
      </c>
      <c r="O57" s="6" t="str">
        <f aca="true">IF(N57="","",IF(N57&lt;TODAY(),"OVERDUE",IF(N57-TODAY()&lt;=30,"Due soon","Current")))</f>
        <v/>
      </c>
      <c r="P57" s="5"/>
    </row>
    <row r="58" customFormat="false" ht="15" hidden="false" customHeight="false" outlineLevel="0" collapsed="false">
      <c r="A58" s="5"/>
      <c r="B58" s="5"/>
      <c r="C58" s="5"/>
      <c r="D58" s="5"/>
      <c r="E58" s="5"/>
      <c r="F58" s="5"/>
      <c r="G58" s="5"/>
      <c r="H58" s="5"/>
      <c r="I58" s="5"/>
      <c r="J58" s="5"/>
      <c r="K58" s="6" t="str">
        <f aca="false">IF(OR(I58="",J58=""),"",CHOOSE(MAX(1,MIN(4,MATCH(I58,{"Low","Medium","High","Extreme"},0)+IF(J58="Effective",-1,IF(J58="Ineffective",1,0)))),"Low","Medium","High","Extreme"))</f>
        <v/>
      </c>
      <c r="L58" s="11"/>
      <c r="M58" s="5"/>
      <c r="N58" s="10" t="str">
        <f aca="false">IF(OR(L58="",M58=""),"",EDATE(L58,M58))</f>
        <v/>
      </c>
      <c r="O58" s="6" t="str">
        <f aca="true">IF(N58="","",IF(N58&lt;TODAY(),"OVERDUE",IF(N58-TODAY()&lt;=30,"Due soon","Current")))</f>
        <v/>
      </c>
      <c r="P58" s="5"/>
    </row>
    <row r="59" customFormat="false" ht="15" hidden="false" customHeight="false" outlineLevel="0" collapsed="false">
      <c r="A59" s="5"/>
      <c r="B59" s="5"/>
      <c r="C59" s="5"/>
      <c r="D59" s="5"/>
      <c r="E59" s="5"/>
      <c r="F59" s="5"/>
      <c r="G59" s="5"/>
      <c r="H59" s="5"/>
      <c r="I59" s="5"/>
      <c r="J59" s="5"/>
      <c r="K59" s="6" t="str">
        <f aca="false">IF(OR(I59="",J59=""),"",CHOOSE(MAX(1,MIN(4,MATCH(I59,{"Low","Medium","High","Extreme"},0)+IF(J59="Effective",-1,IF(J59="Ineffective",1,0)))),"Low","Medium","High","Extreme"))</f>
        <v/>
      </c>
      <c r="L59" s="11"/>
      <c r="M59" s="5"/>
      <c r="N59" s="10" t="str">
        <f aca="false">IF(OR(L59="",M59=""),"",EDATE(L59,M59))</f>
        <v/>
      </c>
      <c r="O59" s="6" t="str">
        <f aca="true">IF(N59="","",IF(N59&lt;TODAY(),"OVERDUE",IF(N59-TODAY()&lt;=30,"Due soon","Current")))</f>
        <v/>
      </c>
      <c r="P59" s="5"/>
    </row>
    <row r="60" customFormat="false" ht="15" hidden="false" customHeight="false" outlineLevel="0" collapsed="false">
      <c r="A60" s="5"/>
      <c r="B60" s="5"/>
      <c r="C60" s="5"/>
      <c r="D60" s="5"/>
      <c r="E60" s="5"/>
      <c r="F60" s="5"/>
      <c r="G60" s="5"/>
      <c r="H60" s="5"/>
      <c r="I60" s="5"/>
      <c r="J60" s="5"/>
      <c r="K60" s="6" t="str">
        <f aca="false">IF(OR(I60="",J60=""),"",CHOOSE(MAX(1,MIN(4,MATCH(I60,{"Low","Medium","High","Extreme"},0)+IF(J60="Effective",-1,IF(J60="Ineffective",1,0)))),"Low","Medium","High","Extreme"))</f>
        <v/>
      </c>
      <c r="L60" s="11"/>
      <c r="M60" s="5"/>
      <c r="N60" s="10" t="str">
        <f aca="false">IF(OR(L60="",M60=""),"",EDATE(L60,M60))</f>
        <v/>
      </c>
      <c r="O60" s="6" t="str">
        <f aca="true">IF(N60="","",IF(N60&lt;TODAY(),"OVERDUE",IF(N60-TODAY()&lt;=30,"Due soon","Current")))</f>
        <v/>
      </c>
      <c r="P60" s="5"/>
    </row>
    <row r="61" customFormat="false" ht="15" hidden="false" customHeight="false" outlineLevel="0" collapsed="false">
      <c r="A61" s="5"/>
      <c r="B61" s="5"/>
      <c r="C61" s="5"/>
      <c r="D61" s="5"/>
      <c r="E61" s="5"/>
      <c r="F61" s="5"/>
      <c r="G61" s="5"/>
      <c r="H61" s="5"/>
      <c r="I61" s="5"/>
      <c r="J61" s="5"/>
      <c r="K61" s="6" t="str">
        <f aca="false">IF(OR(I61="",J61=""),"",CHOOSE(MAX(1,MIN(4,MATCH(I61,{"Low","Medium","High","Extreme"},0)+IF(J61="Effective",-1,IF(J61="Ineffective",1,0)))),"Low","Medium","High","Extreme"))</f>
        <v/>
      </c>
      <c r="L61" s="11"/>
      <c r="M61" s="5"/>
      <c r="N61" s="10" t="str">
        <f aca="false">IF(OR(L61="",M61=""),"",EDATE(L61,M61))</f>
        <v/>
      </c>
      <c r="O61" s="6" t="str">
        <f aca="true">IF(N61="","",IF(N61&lt;TODAY(),"OVERDUE",IF(N61-TODAY()&lt;=30,"Due soon","Current")))</f>
        <v/>
      </c>
      <c r="P61" s="5"/>
    </row>
    <row r="62" customFormat="false" ht="15" hidden="false" customHeight="false" outlineLevel="0" collapsed="false">
      <c r="A62" s="5"/>
      <c r="B62" s="5"/>
      <c r="C62" s="5"/>
      <c r="D62" s="5"/>
      <c r="E62" s="5"/>
      <c r="F62" s="5"/>
      <c r="G62" s="5"/>
      <c r="H62" s="5"/>
      <c r="I62" s="5"/>
      <c r="J62" s="5"/>
      <c r="K62" s="6" t="str">
        <f aca="false">IF(OR(I62="",J62=""),"",CHOOSE(MAX(1,MIN(4,MATCH(I62,{"Low","Medium","High","Extreme"},0)+IF(J62="Effective",-1,IF(J62="Ineffective",1,0)))),"Low","Medium","High","Extreme"))</f>
        <v/>
      </c>
      <c r="L62" s="11"/>
      <c r="M62" s="5"/>
      <c r="N62" s="10" t="str">
        <f aca="false">IF(OR(L62="",M62=""),"",EDATE(L62,M62))</f>
        <v/>
      </c>
      <c r="O62" s="6" t="str">
        <f aca="true">IF(N62="","",IF(N62&lt;TODAY(),"OVERDUE",IF(N62-TODAY()&lt;=30,"Due soon","Current")))</f>
        <v/>
      </c>
      <c r="P62" s="5"/>
    </row>
    <row r="63" customFormat="false" ht="15" hidden="false" customHeight="false" outlineLevel="0" collapsed="false">
      <c r="A63" s="5"/>
      <c r="B63" s="5"/>
      <c r="C63" s="5"/>
      <c r="D63" s="5"/>
      <c r="E63" s="5"/>
      <c r="F63" s="5"/>
      <c r="G63" s="5"/>
      <c r="H63" s="5"/>
      <c r="I63" s="5"/>
      <c r="J63" s="5"/>
      <c r="K63" s="6" t="str">
        <f aca="false">IF(OR(I63="",J63=""),"",CHOOSE(MAX(1,MIN(4,MATCH(I63,{"Low","Medium","High","Extreme"},0)+IF(J63="Effective",-1,IF(J63="Ineffective",1,0)))),"Low","Medium","High","Extreme"))</f>
        <v/>
      </c>
      <c r="L63" s="11"/>
      <c r="M63" s="5"/>
      <c r="N63" s="10" t="str">
        <f aca="false">IF(OR(L63="",M63=""),"",EDATE(L63,M63))</f>
        <v/>
      </c>
      <c r="O63" s="6" t="str">
        <f aca="true">IF(N63="","",IF(N63&lt;TODAY(),"OVERDUE",IF(N63-TODAY()&lt;=30,"Due soon","Current")))</f>
        <v/>
      </c>
      <c r="P63" s="5"/>
    </row>
    <row r="64" customFormat="false" ht="15" hidden="false" customHeight="false" outlineLevel="0" collapsed="false">
      <c r="A64" s="5"/>
      <c r="B64" s="5"/>
      <c r="C64" s="5"/>
      <c r="D64" s="5"/>
      <c r="E64" s="5"/>
      <c r="F64" s="5"/>
      <c r="G64" s="5"/>
      <c r="H64" s="5"/>
      <c r="I64" s="5"/>
      <c r="J64" s="5"/>
      <c r="K64" s="6" t="str">
        <f aca="false">IF(OR(I64="",J64=""),"",CHOOSE(MAX(1,MIN(4,MATCH(I64,{"Low","Medium","High","Extreme"},0)+IF(J64="Effective",-1,IF(J64="Ineffective",1,0)))),"Low","Medium","High","Extreme"))</f>
        <v/>
      </c>
      <c r="L64" s="11"/>
      <c r="M64" s="5"/>
      <c r="N64" s="10" t="str">
        <f aca="false">IF(OR(L64="",M64=""),"",EDATE(L64,M64))</f>
        <v/>
      </c>
      <c r="O64" s="6" t="str">
        <f aca="true">IF(N64="","",IF(N64&lt;TODAY(),"OVERDUE",IF(N64-TODAY()&lt;=30,"Due soon","Current")))</f>
        <v/>
      </c>
      <c r="P64" s="5"/>
    </row>
    <row r="65" customFormat="false" ht="15" hidden="false" customHeight="false" outlineLevel="0" collapsed="false">
      <c r="A65" s="5"/>
      <c r="B65" s="5"/>
      <c r="C65" s="5"/>
      <c r="D65" s="5"/>
      <c r="E65" s="5"/>
      <c r="F65" s="5"/>
      <c r="G65" s="5"/>
      <c r="H65" s="5"/>
      <c r="I65" s="5"/>
      <c r="J65" s="5"/>
      <c r="K65" s="6" t="str">
        <f aca="false">IF(OR(I65="",J65=""),"",CHOOSE(MAX(1,MIN(4,MATCH(I65,{"Low","Medium","High","Extreme"},0)+IF(J65="Effective",-1,IF(J65="Ineffective",1,0)))),"Low","Medium","High","Extreme"))</f>
        <v/>
      </c>
      <c r="L65" s="11"/>
      <c r="M65" s="5"/>
      <c r="N65" s="10" t="str">
        <f aca="false">IF(OR(L65="",M65=""),"",EDATE(L65,M65))</f>
        <v/>
      </c>
      <c r="O65" s="6" t="str">
        <f aca="true">IF(N65="","",IF(N65&lt;TODAY(),"OVERDUE",IF(N65-TODAY()&lt;=30,"Due soon","Current")))</f>
        <v/>
      </c>
      <c r="P65" s="5"/>
    </row>
    <row r="66" customFormat="false" ht="15" hidden="false" customHeight="false" outlineLevel="0" collapsed="false">
      <c r="A66" s="5"/>
      <c r="B66" s="5"/>
      <c r="C66" s="5"/>
      <c r="D66" s="5"/>
      <c r="E66" s="5"/>
      <c r="F66" s="5"/>
      <c r="G66" s="5"/>
      <c r="H66" s="5"/>
      <c r="I66" s="5"/>
      <c r="J66" s="5"/>
      <c r="K66" s="6" t="str">
        <f aca="false">IF(OR(I66="",J66=""),"",CHOOSE(MAX(1,MIN(4,MATCH(I66,{"Low","Medium","High","Extreme"},0)+IF(J66="Effective",-1,IF(J66="Ineffective",1,0)))),"Low","Medium","High","Extreme"))</f>
        <v/>
      </c>
      <c r="L66" s="11"/>
      <c r="M66" s="5"/>
      <c r="N66" s="10" t="str">
        <f aca="false">IF(OR(L66="",M66=""),"",EDATE(L66,M66))</f>
        <v/>
      </c>
      <c r="O66" s="6" t="str">
        <f aca="true">IF(N66="","",IF(N66&lt;TODAY(),"OVERDUE",IF(N66-TODAY()&lt;=30,"Due soon","Current")))</f>
        <v/>
      </c>
      <c r="P66" s="5"/>
    </row>
    <row r="67" customFormat="false" ht="15" hidden="false" customHeight="false" outlineLevel="0" collapsed="false">
      <c r="A67" s="5"/>
      <c r="B67" s="5"/>
      <c r="C67" s="5"/>
      <c r="D67" s="5"/>
      <c r="E67" s="5"/>
      <c r="F67" s="5"/>
      <c r="G67" s="5"/>
      <c r="H67" s="5"/>
      <c r="I67" s="5"/>
      <c r="J67" s="5"/>
      <c r="K67" s="6" t="str">
        <f aca="false">IF(OR(I67="",J67=""),"",CHOOSE(MAX(1,MIN(4,MATCH(I67,{"Low","Medium","High","Extreme"},0)+IF(J67="Effective",-1,IF(J67="Ineffective",1,0)))),"Low","Medium","High","Extreme"))</f>
        <v/>
      </c>
      <c r="L67" s="11"/>
      <c r="M67" s="5"/>
      <c r="N67" s="10" t="str">
        <f aca="false">IF(OR(L67="",M67=""),"",EDATE(L67,M67))</f>
        <v/>
      </c>
      <c r="O67" s="6" t="str">
        <f aca="true">IF(N67="","",IF(N67&lt;TODAY(),"OVERDUE",IF(N67-TODAY()&lt;=30,"Due soon","Current")))</f>
        <v/>
      </c>
      <c r="P67" s="5"/>
    </row>
    <row r="68" customFormat="false" ht="15" hidden="false" customHeight="false" outlineLevel="0" collapsed="false">
      <c r="A68" s="5"/>
      <c r="B68" s="5"/>
      <c r="C68" s="5"/>
      <c r="D68" s="5"/>
      <c r="E68" s="5"/>
      <c r="F68" s="5"/>
      <c r="G68" s="5"/>
      <c r="H68" s="5"/>
      <c r="I68" s="5"/>
      <c r="J68" s="5"/>
      <c r="K68" s="6" t="str">
        <f aca="false">IF(OR(I68="",J68=""),"",CHOOSE(MAX(1,MIN(4,MATCH(I68,{"Low","Medium","High","Extreme"},0)+IF(J68="Effective",-1,IF(J68="Ineffective",1,0)))),"Low","Medium","High","Extreme"))</f>
        <v/>
      </c>
      <c r="L68" s="11"/>
      <c r="M68" s="5"/>
      <c r="N68" s="10" t="str">
        <f aca="false">IF(OR(L68="",M68=""),"",EDATE(L68,M68))</f>
        <v/>
      </c>
      <c r="O68" s="6" t="str">
        <f aca="true">IF(N68="","",IF(N68&lt;TODAY(),"OVERDUE",IF(N68-TODAY()&lt;=30,"Due soon","Current")))</f>
        <v/>
      </c>
      <c r="P68" s="5"/>
    </row>
    <row r="69" customFormat="false" ht="15" hidden="false" customHeight="false" outlineLevel="0" collapsed="false">
      <c r="A69" s="5"/>
      <c r="B69" s="5"/>
      <c r="C69" s="5"/>
      <c r="D69" s="5"/>
      <c r="E69" s="5"/>
      <c r="F69" s="5"/>
      <c r="G69" s="5"/>
      <c r="H69" s="5"/>
      <c r="I69" s="5"/>
      <c r="J69" s="5"/>
      <c r="K69" s="6" t="str">
        <f aca="false">IF(OR(I69="",J69=""),"",CHOOSE(MAX(1,MIN(4,MATCH(I69,{"Low","Medium","High","Extreme"},0)+IF(J69="Effective",-1,IF(J69="Ineffective",1,0)))),"Low","Medium","High","Extreme"))</f>
        <v/>
      </c>
      <c r="L69" s="11"/>
      <c r="M69" s="5"/>
      <c r="N69" s="10" t="str">
        <f aca="false">IF(OR(L69="",M69=""),"",EDATE(L69,M69))</f>
        <v/>
      </c>
      <c r="O69" s="6" t="str">
        <f aca="true">IF(N69="","",IF(N69&lt;TODAY(),"OVERDUE",IF(N69-TODAY()&lt;=30,"Due soon","Current")))</f>
        <v/>
      </c>
      <c r="P69" s="5"/>
    </row>
    <row r="70" customFormat="false" ht="15" hidden="false" customHeight="false" outlineLevel="0" collapsed="false">
      <c r="A70" s="5"/>
      <c r="B70" s="5"/>
      <c r="C70" s="5"/>
      <c r="D70" s="5"/>
      <c r="E70" s="5"/>
      <c r="F70" s="5"/>
      <c r="G70" s="5"/>
      <c r="H70" s="5"/>
      <c r="I70" s="5"/>
      <c r="J70" s="5"/>
      <c r="K70" s="6" t="str">
        <f aca="false">IF(OR(I70="",J70=""),"",CHOOSE(MAX(1,MIN(4,MATCH(I70,{"Low","Medium","High","Extreme"},0)+IF(J70="Effective",-1,IF(J70="Ineffective",1,0)))),"Low","Medium","High","Extreme"))</f>
        <v/>
      </c>
      <c r="L70" s="11"/>
      <c r="M70" s="5"/>
      <c r="N70" s="10" t="str">
        <f aca="false">IF(OR(L70="",M70=""),"",EDATE(L70,M70))</f>
        <v/>
      </c>
      <c r="O70" s="6" t="str">
        <f aca="true">IF(N70="","",IF(N70&lt;TODAY(),"OVERDUE",IF(N70-TODAY()&lt;=30,"Due soon","Current")))</f>
        <v/>
      </c>
      <c r="P70" s="5"/>
    </row>
    <row r="71" customFormat="false" ht="15" hidden="false" customHeight="false" outlineLevel="0" collapsed="false">
      <c r="A71" s="5"/>
      <c r="B71" s="5"/>
      <c r="C71" s="5"/>
      <c r="D71" s="5"/>
      <c r="E71" s="5"/>
      <c r="F71" s="5"/>
      <c r="G71" s="5"/>
      <c r="H71" s="5"/>
      <c r="I71" s="5"/>
      <c r="J71" s="5"/>
      <c r="K71" s="6" t="str">
        <f aca="false">IF(OR(I71="",J71=""),"",CHOOSE(MAX(1,MIN(4,MATCH(I71,{"Low","Medium","High","Extreme"},0)+IF(J71="Effective",-1,IF(J71="Ineffective",1,0)))),"Low","Medium","High","Extreme"))</f>
        <v/>
      </c>
      <c r="L71" s="11"/>
      <c r="M71" s="5"/>
      <c r="N71" s="10" t="str">
        <f aca="false">IF(OR(L71="",M71=""),"",EDATE(L71,M71))</f>
        <v/>
      </c>
      <c r="O71" s="6" t="str">
        <f aca="true">IF(N71="","",IF(N71&lt;TODAY(),"OVERDUE",IF(N71-TODAY()&lt;=30,"Due soon","Current")))</f>
        <v/>
      </c>
      <c r="P71" s="5"/>
    </row>
    <row r="72" customFormat="false" ht="15" hidden="false" customHeight="false" outlineLevel="0" collapsed="false">
      <c r="A72" s="5"/>
      <c r="B72" s="5"/>
      <c r="C72" s="5"/>
      <c r="D72" s="5"/>
      <c r="E72" s="5"/>
      <c r="F72" s="5"/>
      <c r="G72" s="5"/>
      <c r="H72" s="5"/>
      <c r="I72" s="5"/>
      <c r="J72" s="5"/>
      <c r="K72" s="6" t="str">
        <f aca="false">IF(OR(I72="",J72=""),"",CHOOSE(MAX(1,MIN(4,MATCH(I72,{"Low","Medium","High","Extreme"},0)+IF(J72="Effective",-1,IF(J72="Ineffective",1,0)))),"Low","Medium","High","Extreme"))</f>
        <v/>
      </c>
      <c r="L72" s="11"/>
      <c r="M72" s="5"/>
      <c r="N72" s="10" t="str">
        <f aca="false">IF(OR(L72="",M72=""),"",EDATE(L72,M72))</f>
        <v/>
      </c>
      <c r="O72" s="6" t="str">
        <f aca="true">IF(N72="","",IF(N72&lt;TODAY(),"OVERDUE",IF(N72-TODAY()&lt;=30,"Due soon","Current")))</f>
        <v/>
      </c>
      <c r="P72" s="5"/>
    </row>
    <row r="73" customFormat="false" ht="15" hidden="false" customHeight="false" outlineLevel="0" collapsed="false">
      <c r="A73" s="5"/>
      <c r="B73" s="5"/>
      <c r="C73" s="5"/>
      <c r="D73" s="5"/>
      <c r="E73" s="5"/>
      <c r="F73" s="5"/>
      <c r="G73" s="5"/>
      <c r="H73" s="5"/>
      <c r="I73" s="5"/>
      <c r="J73" s="5"/>
      <c r="K73" s="6" t="str">
        <f aca="false">IF(OR(I73="",J73=""),"",CHOOSE(MAX(1,MIN(4,MATCH(I73,{"Low","Medium","High","Extreme"},0)+IF(J73="Effective",-1,IF(J73="Ineffective",1,0)))),"Low","Medium","High","Extreme"))</f>
        <v/>
      </c>
      <c r="L73" s="11"/>
      <c r="M73" s="5"/>
      <c r="N73" s="10" t="str">
        <f aca="false">IF(OR(L73="",M73=""),"",EDATE(L73,M73))</f>
        <v/>
      </c>
      <c r="O73" s="6" t="str">
        <f aca="true">IF(N73="","",IF(N73&lt;TODAY(),"OVERDUE",IF(N73-TODAY()&lt;=30,"Due soon","Current")))</f>
        <v/>
      </c>
      <c r="P73" s="5"/>
    </row>
    <row r="74" customFormat="false" ht="15" hidden="false" customHeight="false" outlineLevel="0" collapsed="false">
      <c r="A74" s="5"/>
      <c r="B74" s="5"/>
      <c r="C74" s="5"/>
      <c r="D74" s="5"/>
      <c r="E74" s="5"/>
      <c r="F74" s="5"/>
      <c r="G74" s="5"/>
      <c r="H74" s="5"/>
      <c r="I74" s="5"/>
      <c r="J74" s="5"/>
      <c r="K74" s="6" t="str">
        <f aca="false">IF(OR(I74="",J74=""),"",CHOOSE(MAX(1,MIN(4,MATCH(I74,{"Low","Medium","High","Extreme"},0)+IF(J74="Effective",-1,IF(J74="Ineffective",1,0)))),"Low","Medium","High","Extreme"))</f>
        <v/>
      </c>
      <c r="L74" s="11"/>
      <c r="M74" s="5"/>
      <c r="N74" s="10" t="str">
        <f aca="false">IF(OR(L74="",M74=""),"",EDATE(L74,M74))</f>
        <v/>
      </c>
      <c r="O74" s="6" t="str">
        <f aca="true">IF(N74="","",IF(N74&lt;TODAY(),"OVERDUE",IF(N74-TODAY()&lt;=30,"Due soon","Current")))</f>
        <v/>
      </c>
      <c r="P74" s="5"/>
    </row>
    <row r="75" customFormat="false" ht="15" hidden="false" customHeight="false" outlineLevel="0" collapsed="false">
      <c r="A75" s="5"/>
      <c r="B75" s="5"/>
      <c r="C75" s="5"/>
      <c r="D75" s="5"/>
      <c r="E75" s="5"/>
      <c r="F75" s="5"/>
      <c r="G75" s="5"/>
      <c r="H75" s="5"/>
      <c r="I75" s="5"/>
      <c r="J75" s="5"/>
      <c r="K75" s="6" t="str">
        <f aca="false">IF(OR(I75="",J75=""),"",CHOOSE(MAX(1,MIN(4,MATCH(I75,{"Low","Medium","High","Extreme"},0)+IF(J75="Effective",-1,IF(J75="Ineffective",1,0)))),"Low","Medium","High","Extreme"))</f>
        <v/>
      </c>
      <c r="L75" s="11"/>
      <c r="M75" s="5"/>
      <c r="N75" s="10" t="str">
        <f aca="false">IF(OR(L75="",M75=""),"",EDATE(L75,M75))</f>
        <v/>
      </c>
      <c r="O75" s="6" t="str">
        <f aca="true">IF(N75="","",IF(N75&lt;TODAY(),"OVERDUE",IF(N75-TODAY()&lt;=30,"Due soon","Current")))</f>
        <v/>
      </c>
      <c r="P75" s="5"/>
    </row>
    <row r="76" customFormat="false" ht="15" hidden="false" customHeight="false" outlineLevel="0" collapsed="false">
      <c r="A76" s="5"/>
      <c r="B76" s="5"/>
      <c r="C76" s="5"/>
      <c r="D76" s="5"/>
      <c r="E76" s="5"/>
      <c r="F76" s="5"/>
      <c r="G76" s="5"/>
      <c r="H76" s="5"/>
      <c r="I76" s="5"/>
      <c r="J76" s="5"/>
      <c r="K76" s="6" t="str">
        <f aca="false">IF(OR(I76="",J76=""),"",CHOOSE(MAX(1,MIN(4,MATCH(I76,{"Low","Medium","High","Extreme"},0)+IF(J76="Effective",-1,IF(J76="Ineffective",1,0)))),"Low","Medium","High","Extreme"))</f>
        <v/>
      </c>
      <c r="L76" s="11"/>
      <c r="M76" s="5"/>
      <c r="N76" s="10" t="str">
        <f aca="false">IF(OR(L76="",M76=""),"",EDATE(L76,M76))</f>
        <v/>
      </c>
      <c r="O76" s="6" t="str">
        <f aca="true">IF(N76="","",IF(N76&lt;TODAY(),"OVERDUE",IF(N76-TODAY()&lt;=30,"Due soon","Current")))</f>
        <v/>
      </c>
      <c r="P76" s="5"/>
    </row>
    <row r="77" customFormat="false" ht="15" hidden="false" customHeight="false" outlineLevel="0" collapsed="false">
      <c r="A77" s="5"/>
      <c r="B77" s="5"/>
      <c r="C77" s="5"/>
      <c r="D77" s="5"/>
      <c r="E77" s="5"/>
      <c r="F77" s="5"/>
      <c r="G77" s="5"/>
      <c r="H77" s="5"/>
      <c r="I77" s="5"/>
      <c r="J77" s="5"/>
      <c r="K77" s="6" t="str">
        <f aca="false">IF(OR(I77="",J77=""),"",CHOOSE(MAX(1,MIN(4,MATCH(I77,{"Low","Medium","High","Extreme"},0)+IF(J77="Effective",-1,IF(J77="Ineffective",1,0)))),"Low","Medium","High","Extreme"))</f>
        <v/>
      </c>
      <c r="L77" s="11"/>
      <c r="M77" s="5"/>
      <c r="N77" s="10" t="str">
        <f aca="false">IF(OR(L77="",M77=""),"",EDATE(L77,M77))</f>
        <v/>
      </c>
      <c r="O77" s="6" t="str">
        <f aca="true">IF(N77="","",IF(N77&lt;TODAY(),"OVERDUE",IF(N77-TODAY()&lt;=30,"Due soon","Current")))</f>
        <v/>
      </c>
      <c r="P77" s="5"/>
    </row>
    <row r="78" customFormat="false" ht="15" hidden="false" customHeight="false" outlineLevel="0" collapsed="false">
      <c r="A78" s="5"/>
      <c r="B78" s="5"/>
      <c r="C78" s="5"/>
      <c r="D78" s="5"/>
      <c r="E78" s="5"/>
      <c r="F78" s="5"/>
      <c r="G78" s="5"/>
      <c r="H78" s="5"/>
      <c r="I78" s="5"/>
      <c r="J78" s="5"/>
      <c r="K78" s="6" t="str">
        <f aca="false">IF(OR(I78="",J78=""),"",CHOOSE(MAX(1,MIN(4,MATCH(I78,{"Low","Medium","High","Extreme"},0)+IF(J78="Effective",-1,IF(J78="Ineffective",1,0)))),"Low","Medium","High","Extreme"))</f>
        <v/>
      </c>
      <c r="L78" s="11"/>
      <c r="M78" s="5"/>
      <c r="N78" s="10" t="str">
        <f aca="false">IF(OR(L78="",M78=""),"",EDATE(L78,M78))</f>
        <v/>
      </c>
      <c r="O78" s="6" t="str">
        <f aca="true">IF(N78="","",IF(N78&lt;TODAY(),"OVERDUE",IF(N78-TODAY()&lt;=30,"Due soon","Current")))</f>
        <v/>
      </c>
      <c r="P78" s="5"/>
    </row>
    <row r="79" customFormat="false" ht="15" hidden="false" customHeight="false" outlineLevel="0" collapsed="false">
      <c r="A79" s="5"/>
      <c r="B79" s="5"/>
      <c r="C79" s="5"/>
      <c r="D79" s="5"/>
      <c r="E79" s="5"/>
      <c r="F79" s="5"/>
      <c r="G79" s="5"/>
      <c r="H79" s="5"/>
      <c r="I79" s="5"/>
      <c r="J79" s="5"/>
      <c r="K79" s="6" t="str">
        <f aca="false">IF(OR(I79="",J79=""),"",CHOOSE(MAX(1,MIN(4,MATCH(I79,{"Low","Medium","High","Extreme"},0)+IF(J79="Effective",-1,IF(J79="Ineffective",1,0)))),"Low","Medium","High","Extreme"))</f>
        <v/>
      </c>
      <c r="L79" s="11"/>
      <c r="M79" s="5"/>
      <c r="N79" s="10" t="str">
        <f aca="false">IF(OR(L79="",M79=""),"",EDATE(L79,M79))</f>
        <v/>
      </c>
      <c r="O79" s="6" t="str">
        <f aca="true">IF(N79="","",IF(N79&lt;TODAY(),"OVERDUE",IF(N79-TODAY()&lt;=30,"Due soon","Current")))</f>
        <v/>
      </c>
      <c r="P79" s="5"/>
    </row>
    <row r="80" customFormat="false" ht="15" hidden="false" customHeight="false" outlineLevel="0" collapsed="false">
      <c r="A80" s="5"/>
      <c r="B80" s="5"/>
      <c r="C80" s="5"/>
      <c r="D80" s="5"/>
      <c r="E80" s="5"/>
      <c r="F80" s="5"/>
      <c r="G80" s="5"/>
      <c r="H80" s="5"/>
      <c r="I80" s="5"/>
      <c r="J80" s="5"/>
      <c r="K80" s="6" t="str">
        <f aca="false">IF(OR(I80="",J80=""),"",CHOOSE(MAX(1,MIN(4,MATCH(I80,{"Low","Medium","High","Extreme"},0)+IF(J80="Effective",-1,IF(J80="Ineffective",1,0)))),"Low","Medium","High","Extreme"))</f>
        <v/>
      </c>
      <c r="L80" s="11"/>
      <c r="M80" s="5"/>
      <c r="N80" s="10" t="str">
        <f aca="false">IF(OR(L80="",M80=""),"",EDATE(L80,M80))</f>
        <v/>
      </c>
      <c r="O80" s="6" t="str">
        <f aca="true">IF(N80="","",IF(N80&lt;TODAY(),"OVERDUE",IF(N80-TODAY()&lt;=30,"Due soon","Current")))</f>
        <v/>
      </c>
      <c r="P80" s="5"/>
    </row>
    <row r="81" customFormat="false" ht="15" hidden="false" customHeight="false" outlineLevel="0" collapsed="false">
      <c r="A81" s="5"/>
      <c r="B81" s="5"/>
      <c r="C81" s="5"/>
      <c r="D81" s="5"/>
      <c r="E81" s="5"/>
      <c r="F81" s="5"/>
      <c r="G81" s="5"/>
      <c r="H81" s="5"/>
      <c r="I81" s="5"/>
      <c r="J81" s="5"/>
      <c r="K81" s="6" t="str">
        <f aca="false">IF(OR(I81="",J81=""),"",CHOOSE(MAX(1,MIN(4,MATCH(I81,{"Low","Medium","High","Extreme"},0)+IF(J81="Effective",-1,IF(J81="Ineffective",1,0)))),"Low","Medium","High","Extreme"))</f>
        <v/>
      </c>
      <c r="L81" s="11"/>
      <c r="M81" s="5"/>
      <c r="N81" s="10" t="str">
        <f aca="false">IF(OR(L81="",M81=""),"",EDATE(L81,M81))</f>
        <v/>
      </c>
      <c r="O81" s="6" t="str">
        <f aca="true">IF(N81="","",IF(N81&lt;TODAY(),"OVERDUE",IF(N81-TODAY()&lt;=30,"Due soon","Current")))</f>
        <v/>
      </c>
      <c r="P81" s="5"/>
    </row>
    <row r="82" customFormat="false" ht="15" hidden="false" customHeight="false" outlineLevel="0" collapsed="false">
      <c r="A82" s="5"/>
      <c r="B82" s="5"/>
      <c r="C82" s="5"/>
      <c r="D82" s="5"/>
      <c r="E82" s="5"/>
      <c r="F82" s="5"/>
      <c r="G82" s="5"/>
      <c r="H82" s="5"/>
      <c r="I82" s="5"/>
      <c r="J82" s="5"/>
      <c r="K82" s="6" t="str">
        <f aca="false">IF(OR(I82="",J82=""),"",CHOOSE(MAX(1,MIN(4,MATCH(I82,{"Low","Medium","High","Extreme"},0)+IF(J82="Effective",-1,IF(J82="Ineffective",1,0)))),"Low","Medium","High","Extreme"))</f>
        <v/>
      </c>
      <c r="L82" s="11"/>
      <c r="M82" s="5"/>
      <c r="N82" s="10" t="str">
        <f aca="false">IF(OR(L82="",M82=""),"",EDATE(L82,M82))</f>
        <v/>
      </c>
      <c r="O82" s="6" t="str">
        <f aca="true">IF(N82="","",IF(N82&lt;TODAY(),"OVERDUE",IF(N82-TODAY()&lt;=30,"Due soon","Current")))</f>
        <v/>
      </c>
      <c r="P82" s="5"/>
    </row>
    <row r="83" customFormat="false" ht="15" hidden="false" customHeight="false" outlineLevel="0" collapsed="false">
      <c r="A83" s="5"/>
      <c r="B83" s="5"/>
      <c r="C83" s="5"/>
      <c r="D83" s="5"/>
      <c r="E83" s="5"/>
      <c r="F83" s="5"/>
      <c r="G83" s="5"/>
      <c r="H83" s="5"/>
      <c r="I83" s="5"/>
      <c r="J83" s="5"/>
      <c r="K83" s="6" t="str">
        <f aca="false">IF(OR(I83="",J83=""),"",CHOOSE(MAX(1,MIN(4,MATCH(I83,{"Low","Medium","High","Extreme"},0)+IF(J83="Effective",-1,IF(J83="Ineffective",1,0)))),"Low","Medium","High","Extreme"))</f>
        <v/>
      </c>
      <c r="L83" s="11"/>
      <c r="M83" s="5"/>
      <c r="N83" s="10" t="str">
        <f aca="false">IF(OR(L83="",M83=""),"",EDATE(L83,M83))</f>
        <v/>
      </c>
      <c r="O83" s="6" t="str">
        <f aca="true">IF(N83="","",IF(N83&lt;TODAY(),"OVERDUE",IF(N83-TODAY()&lt;=30,"Due soon","Current")))</f>
        <v/>
      </c>
      <c r="P83" s="5"/>
    </row>
    <row r="84" customFormat="false" ht="15" hidden="false" customHeight="false" outlineLevel="0" collapsed="false">
      <c r="A84" s="5"/>
      <c r="B84" s="5"/>
      <c r="C84" s="5"/>
      <c r="D84" s="5"/>
      <c r="E84" s="5"/>
      <c r="F84" s="5"/>
      <c r="G84" s="5"/>
      <c r="H84" s="5"/>
      <c r="I84" s="5"/>
      <c r="J84" s="5"/>
      <c r="K84" s="6" t="str">
        <f aca="false">IF(OR(I84="",J84=""),"",CHOOSE(MAX(1,MIN(4,MATCH(I84,{"Low","Medium","High","Extreme"},0)+IF(J84="Effective",-1,IF(J84="Ineffective",1,0)))),"Low","Medium","High","Extreme"))</f>
        <v/>
      </c>
      <c r="L84" s="11"/>
      <c r="M84" s="5"/>
      <c r="N84" s="10" t="str">
        <f aca="false">IF(OR(L84="",M84=""),"",EDATE(L84,M84))</f>
        <v/>
      </c>
      <c r="O84" s="6" t="str">
        <f aca="true">IF(N84="","",IF(N84&lt;TODAY(),"OVERDUE",IF(N84-TODAY()&lt;=30,"Due soon","Current")))</f>
        <v/>
      </c>
      <c r="P84" s="5"/>
    </row>
    <row r="85" customFormat="false" ht="15" hidden="false" customHeight="false" outlineLevel="0" collapsed="false">
      <c r="A85" s="5"/>
      <c r="B85" s="5"/>
      <c r="C85" s="5"/>
      <c r="D85" s="5"/>
      <c r="E85" s="5"/>
      <c r="F85" s="5"/>
      <c r="G85" s="5"/>
      <c r="H85" s="5"/>
      <c r="I85" s="5"/>
      <c r="J85" s="5"/>
      <c r="K85" s="6" t="str">
        <f aca="false">IF(OR(I85="",J85=""),"",CHOOSE(MAX(1,MIN(4,MATCH(I85,{"Low","Medium","High","Extreme"},0)+IF(J85="Effective",-1,IF(J85="Ineffective",1,0)))),"Low","Medium","High","Extreme"))</f>
        <v/>
      </c>
      <c r="L85" s="11"/>
      <c r="M85" s="5"/>
      <c r="N85" s="10" t="str">
        <f aca="false">IF(OR(L85="",M85=""),"",EDATE(L85,M85))</f>
        <v/>
      </c>
      <c r="O85" s="6" t="str">
        <f aca="true">IF(N85="","",IF(N85&lt;TODAY(),"OVERDUE",IF(N85-TODAY()&lt;=30,"Due soon","Current")))</f>
        <v/>
      </c>
      <c r="P85" s="5"/>
    </row>
    <row r="86" customFormat="false" ht="15" hidden="false" customHeight="false" outlineLevel="0" collapsed="false">
      <c r="A86" s="5"/>
      <c r="B86" s="5"/>
      <c r="C86" s="5"/>
      <c r="D86" s="5"/>
      <c r="E86" s="5"/>
      <c r="F86" s="5"/>
      <c r="G86" s="5"/>
      <c r="H86" s="5"/>
      <c r="I86" s="5"/>
      <c r="J86" s="5"/>
      <c r="K86" s="6" t="str">
        <f aca="false">IF(OR(I86="",J86=""),"",CHOOSE(MAX(1,MIN(4,MATCH(I86,{"Low","Medium","High","Extreme"},0)+IF(J86="Effective",-1,IF(J86="Ineffective",1,0)))),"Low","Medium","High","Extreme"))</f>
        <v/>
      </c>
      <c r="L86" s="11"/>
      <c r="M86" s="5"/>
      <c r="N86" s="10" t="str">
        <f aca="false">IF(OR(L86="",M86=""),"",EDATE(L86,M86))</f>
        <v/>
      </c>
      <c r="O86" s="6" t="str">
        <f aca="true">IF(N86="","",IF(N86&lt;TODAY(),"OVERDUE",IF(N86-TODAY()&lt;=30,"Due soon","Current")))</f>
        <v/>
      </c>
      <c r="P86" s="5"/>
    </row>
    <row r="87" customFormat="false" ht="15" hidden="false" customHeight="false" outlineLevel="0" collapsed="false">
      <c r="A87" s="5"/>
      <c r="B87" s="5"/>
      <c r="C87" s="5"/>
      <c r="D87" s="5"/>
      <c r="E87" s="5"/>
      <c r="F87" s="5"/>
      <c r="G87" s="5"/>
      <c r="H87" s="5"/>
      <c r="I87" s="5"/>
      <c r="J87" s="5"/>
      <c r="K87" s="6" t="str">
        <f aca="false">IF(OR(I87="",J87=""),"",CHOOSE(MAX(1,MIN(4,MATCH(I87,{"Low","Medium","High","Extreme"},0)+IF(J87="Effective",-1,IF(J87="Ineffective",1,0)))),"Low","Medium","High","Extreme"))</f>
        <v/>
      </c>
      <c r="L87" s="11"/>
      <c r="M87" s="5"/>
      <c r="N87" s="10" t="str">
        <f aca="false">IF(OR(L87="",M87=""),"",EDATE(L87,M87))</f>
        <v/>
      </c>
      <c r="O87" s="6" t="str">
        <f aca="true">IF(N87="","",IF(N87&lt;TODAY(),"OVERDUE",IF(N87-TODAY()&lt;=30,"Due soon","Current")))</f>
        <v/>
      </c>
      <c r="P87" s="5"/>
    </row>
    <row r="88" customFormat="false" ht="15" hidden="false" customHeight="false" outlineLevel="0" collapsed="false">
      <c r="A88" s="5"/>
      <c r="B88" s="5"/>
      <c r="C88" s="5"/>
      <c r="D88" s="5"/>
      <c r="E88" s="5"/>
      <c r="F88" s="5"/>
      <c r="G88" s="5"/>
      <c r="H88" s="5"/>
      <c r="I88" s="5"/>
      <c r="J88" s="5"/>
      <c r="K88" s="6" t="str">
        <f aca="false">IF(OR(I88="",J88=""),"",CHOOSE(MAX(1,MIN(4,MATCH(I88,{"Low","Medium","High","Extreme"},0)+IF(J88="Effective",-1,IF(J88="Ineffective",1,0)))),"Low","Medium","High","Extreme"))</f>
        <v/>
      </c>
      <c r="L88" s="11"/>
      <c r="M88" s="5"/>
      <c r="N88" s="10" t="str">
        <f aca="false">IF(OR(L88="",M88=""),"",EDATE(L88,M88))</f>
        <v/>
      </c>
      <c r="O88" s="6" t="str">
        <f aca="true">IF(N88="","",IF(N88&lt;TODAY(),"OVERDUE",IF(N88-TODAY()&lt;=30,"Due soon","Current")))</f>
        <v/>
      </c>
      <c r="P88" s="5"/>
    </row>
    <row r="89" customFormat="false" ht="15" hidden="false" customHeight="false" outlineLevel="0" collapsed="false">
      <c r="A89" s="5"/>
      <c r="B89" s="5"/>
      <c r="C89" s="5"/>
      <c r="D89" s="5"/>
      <c r="E89" s="5"/>
      <c r="F89" s="5"/>
      <c r="G89" s="5"/>
      <c r="H89" s="5"/>
      <c r="I89" s="5"/>
      <c r="J89" s="5"/>
      <c r="K89" s="6" t="str">
        <f aca="false">IF(OR(I89="",J89=""),"",CHOOSE(MAX(1,MIN(4,MATCH(I89,{"Low","Medium","High","Extreme"},0)+IF(J89="Effective",-1,IF(J89="Ineffective",1,0)))),"Low","Medium","High","Extreme"))</f>
        <v/>
      </c>
      <c r="L89" s="11"/>
      <c r="M89" s="5"/>
      <c r="N89" s="10" t="str">
        <f aca="false">IF(OR(L89="",M89=""),"",EDATE(L89,M89))</f>
        <v/>
      </c>
      <c r="O89" s="6" t="str">
        <f aca="true">IF(N89="","",IF(N89&lt;TODAY(),"OVERDUE",IF(N89-TODAY()&lt;=30,"Due soon","Current")))</f>
        <v/>
      </c>
      <c r="P89" s="5"/>
    </row>
    <row r="90" customFormat="false" ht="15" hidden="false" customHeight="false" outlineLevel="0" collapsed="false">
      <c r="A90" s="5"/>
      <c r="B90" s="5"/>
      <c r="C90" s="5"/>
      <c r="D90" s="5"/>
      <c r="E90" s="5"/>
      <c r="F90" s="5"/>
      <c r="G90" s="5"/>
      <c r="H90" s="5"/>
      <c r="I90" s="5"/>
      <c r="J90" s="5"/>
      <c r="K90" s="6" t="str">
        <f aca="false">IF(OR(I90="",J90=""),"",CHOOSE(MAX(1,MIN(4,MATCH(I90,{"Low","Medium","High","Extreme"},0)+IF(J90="Effective",-1,IF(J90="Ineffective",1,0)))),"Low","Medium","High","Extreme"))</f>
        <v/>
      </c>
      <c r="L90" s="11"/>
      <c r="M90" s="5"/>
      <c r="N90" s="10" t="str">
        <f aca="false">IF(OR(L90="",M90=""),"",EDATE(L90,M90))</f>
        <v/>
      </c>
      <c r="O90" s="6" t="str">
        <f aca="true">IF(N90="","",IF(N90&lt;TODAY(),"OVERDUE",IF(N90-TODAY()&lt;=30,"Due soon","Current")))</f>
        <v/>
      </c>
      <c r="P90" s="5"/>
    </row>
    <row r="91" customFormat="false" ht="15" hidden="false" customHeight="false" outlineLevel="0" collapsed="false">
      <c r="A91" s="5"/>
      <c r="B91" s="5"/>
      <c r="C91" s="5"/>
      <c r="D91" s="5"/>
      <c r="E91" s="5"/>
      <c r="F91" s="5"/>
      <c r="G91" s="5"/>
      <c r="H91" s="5"/>
      <c r="I91" s="5"/>
      <c r="J91" s="5"/>
      <c r="K91" s="6" t="str">
        <f aca="false">IF(OR(I91="",J91=""),"",CHOOSE(MAX(1,MIN(4,MATCH(I91,{"Low","Medium","High","Extreme"},0)+IF(J91="Effective",-1,IF(J91="Ineffective",1,0)))),"Low","Medium","High","Extreme"))</f>
        <v/>
      </c>
      <c r="L91" s="11"/>
      <c r="M91" s="5"/>
      <c r="N91" s="10" t="str">
        <f aca="false">IF(OR(L91="",M91=""),"",EDATE(L91,M91))</f>
        <v/>
      </c>
      <c r="O91" s="6" t="str">
        <f aca="true">IF(N91="","",IF(N91&lt;TODAY(),"OVERDUE",IF(N91-TODAY()&lt;=30,"Due soon","Current")))</f>
        <v/>
      </c>
      <c r="P91" s="5"/>
    </row>
    <row r="92" customFormat="false" ht="15" hidden="false" customHeight="false" outlineLevel="0" collapsed="false">
      <c r="A92" s="5"/>
      <c r="B92" s="5"/>
      <c r="C92" s="5"/>
      <c r="D92" s="5"/>
      <c r="E92" s="5"/>
      <c r="F92" s="5"/>
      <c r="G92" s="5"/>
      <c r="H92" s="5"/>
      <c r="I92" s="5"/>
      <c r="J92" s="5"/>
      <c r="K92" s="6" t="str">
        <f aca="false">IF(OR(I92="",J92=""),"",CHOOSE(MAX(1,MIN(4,MATCH(I92,{"Low","Medium","High","Extreme"},0)+IF(J92="Effective",-1,IF(J92="Ineffective",1,0)))),"Low","Medium","High","Extreme"))</f>
        <v/>
      </c>
      <c r="L92" s="11"/>
      <c r="M92" s="5"/>
      <c r="N92" s="10" t="str">
        <f aca="false">IF(OR(L92="",M92=""),"",EDATE(L92,M92))</f>
        <v/>
      </c>
      <c r="O92" s="6" t="str">
        <f aca="true">IF(N92="","",IF(N92&lt;TODAY(),"OVERDUE",IF(N92-TODAY()&lt;=30,"Due soon","Current")))</f>
        <v/>
      </c>
      <c r="P92" s="5"/>
    </row>
    <row r="93" customFormat="false" ht="15" hidden="false" customHeight="false" outlineLevel="0" collapsed="false">
      <c r="A93" s="5"/>
      <c r="B93" s="5"/>
      <c r="C93" s="5"/>
      <c r="D93" s="5"/>
      <c r="E93" s="5"/>
      <c r="F93" s="5"/>
      <c r="G93" s="5"/>
      <c r="H93" s="5"/>
      <c r="I93" s="5"/>
      <c r="J93" s="5"/>
      <c r="K93" s="6" t="str">
        <f aca="false">IF(OR(I93="",J93=""),"",CHOOSE(MAX(1,MIN(4,MATCH(I93,{"Low","Medium","High","Extreme"},0)+IF(J93="Effective",-1,IF(J93="Ineffective",1,0)))),"Low","Medium","High","Extreme"))</f>
        <v/>
      </c>
      <c r="L93" s="11"/>
      <c r="M93" s="5"/>
      <c r="N93" s="10" t="str">
        <f aca="false">IF(OR(L93="",M93=""),"",EDATE(L93,M93))</f>
        <v/>
      </c>
      <c r="O93" s="6" t="str">
        <f aca="true">IF(N93="","",IF(N93&lt;TODAY(),"OVERDUE",IF(N93-TODAY()&lt;=30,"Due soon","Current")))</f>
        <v/>
      </c>
      <c r="P93" s="5"/>
    </row>
    <row r="94" customFormat="false" ht="15" hidden="false" customHeight="false" outlineLevel="0" collapsed="false">
      <c r="A94" s="5"/>
      <c r="B94" s="5"/>
      <c r="C94" s="5"/>
      <c r="D94" s="5"/>
      <c r="E94" s="5"/>
      <c r="F94" s="5"/>
      <c r="G94" s="5"/>
      <c r="H94" s="5"/>
      <c r="I94" s="5"/>
      <c r="J94" s="5"/>
      <c r="K94" s="6" t="str">
        <f aca="false">IF(OR(I94="",J94=""),"",CHOOSE(MAX(1,MIN(4,MATCH(I94,{"Low","Medium","High","Extreme"},0)+IF(J94="Effective",-1,IF(J94="Ineffective",1,0)))),"Low","Medium","High","Extreme"))</f>
        <v/>
      </c>
      <c r="L94" s="11"/>
      <c r="M94" s="5"/>
      <c r="N94" s="10" t="str">
        <f aca="false">IF(OR(L94="",M94=""),"",EDATE(L94,M94))</f>
        <v/>
      </c>
      <c r="O94" s="6" t="str">
        <f aca="true">IF(N94="","",IF(N94&lt;TODAY(),"OVERDUE",IF(N94-TODAY()&lt;=30,"Due soon","Current")))</f>
        <v/>
      </c>
      <c r="P94" s="5"/>
    </row>
    <row r="95" customFormat="false" ht="15" hidden="false" customHeight="false" outlineLevel="0" collapsed="false">
      <c r="A95" s="5"/>
      <c r="B95" s="5"/>
      <c r="C95" s="5"/>
      <c r="D95" s="5"/>
      <c r="E95" s="5"/>
      <c r="F95" s="5"/>
      <c r="G95" s="5"/>
      <c r="H95" s="5"/>
      <c r="I95" s="5"/>
      <c r="J95" s="5"/>
      <c r="K95" s="6" t="str">
        <f aca="false">IF(OR(I95="",J95=""),"",CHOOSE(MAX(1,MIN(4,MATCH(I95,{"Low","Medium","High","Extreme"},0)+IF(J95="Effective",-1,IF(J95="Ineffective",1,0)))),"Low","Medium","High","Extreme"))</f>
        <v/>
      </c>
      <c r="L95" s="11"/>
      <c r="M95" s="5"/>
      <c r="N95" s="10" t="str">
        <f aca="false">IF(OR(L95="",M95=""),"",EDATE(L95,M95))</f>
        <v/>
      </c>
      <c r="O95" s="6" t="str">
        <f aca="true">IF(N95="","",IF(N95&lt;TODAY(),"OVERDUE",IF(N95-TODAY()&lt;=30,"Due soon","Current")))</f>
        <v/>
      </c>
      <c r="P95" s="5"/>
    </row>
    <row r="96" customFormat="false" ht="15" hidden="false" customHeight="false" outlineLevel="0" collapsed="false">
      <c r="A96" s="5"/>
      <c r="B96" s="5"/>
      <c r="C96" s="5"/>
      <c r="D96" s="5"/>
      <c r="E96" s="5"/>
      <c r="F96" s="5"/>
      <c r="G96" s="5"/>
      <c r="H96" s="5"/>
      <c r="I96" s="5"/>
      <c r="J96" s="5"/>
      <c r="K96" s="6" t="str">
        <f aca="false">IF(OR(I96="",J96=""),"",CHOOSE(MAX(1,MIN(4,MATCH(I96,{"Low","Medium","High","Extreme"},0)+IF(J96="Effective",-1,IF(J96="Ineffective",1,0)))),"Low","Medium","High","Extreme"))</f>
        <v/>
      </c>
      <c r="L96" s="11"/>
      <c r="M96" s="5"/>
      <c r="N96" s="10" t="str">
        <f aca="false">IF(OR(L96="",M96=""),"",EDATE(L96,M96))</f>
        <v/>
      </c>
      <c r="O96" s="6" t="str">
        <f aca="true">IF(N96="","",IF(N96&lt;TODAY(),"OVERDUE",IF(N96-TODAY()&lt;=30,"Due soon","Current")))</f>
        <v/>
      </c>
      <c r="P96" s="5"/>
    </row>
    <row r="97" customFormat="false" ht="15" hidden="false" customHeight="false" outlineLevel="0" collapsed="false">
      <c r="A97" s="5"/>
      <c r="B97" s="5"/>
      <c r="C97" s="5"/>
      <c r="D97" s="5"/>
      <c r="E97" s="5"/>
      <c r="F97" s="5"/>
      <c r="G97" s="5"/>
      <c r="H97" s="5"/>
      <c r="I97" s="5"/>
      <c r="J97" s="5"/>
      <c r="K97" s="6" t="str">
        <f aca="false">IF(OR(I97="",J97=""),"",CHOOSE(MAX(1,MIN(4,MATCH(I97,{"Low","Medium","High","Extreme"},0)+IF(J97="Effective",-1,IF(J97="Ineffective",1,0)))),"Low","Medium","High","Extreme"))</f>
        <v/>
      </c>
      <c r="L97" s="11"/>
      <c r="M97" s="5"/>
      <c r="N97" s="10" t="str">
        <f aca="false">IF(OR(L97="",M97=""),"",EDATE(L97,M97))</f>
        <v/>
      </c>
      <c r="O97" s="6" t="str">
        <f aca="true">IF(N97="","",IF(N97&lt;TODAY(),"OVERDUE",IF(N97-TODAY()&lt;=30,"Due soon","Current")))</f>
        <v/>
      </c>
      <c r="P97" s="5"/>
    </row>
    <row r="98" customFormat="false" ht="15" hidden="false" customHeight="false" outlineLevel="0" collapsed="false">
      <c r="A98" s="5"/>
      <c r="B98" s="5"/>
      <c r="C98" s="5"/>
      <c r="D98" s="5"/>
      <c r="E98" s="5"/>
      <c r="F98" s="5"/>
      <c r="G98" s="5"/>
      <c r="H98" s="5"/>
      <c r="I98" s="5"/>
      <c r="J98" s="5"/>
      <c r="K98" s="6" t="str">
        <f aca="false">IF(OR(I98="",J98=""),"",CHOOSE(MAX(1,MIN(4,MATCH(I98,{"Low","Medium","High","Extreme"},0)+IF(J98="Effective",-1,IF(J98="Ineffective",1,0)))),"Low","Medium","High","Extreme"))</f>
        <v/>
      </c>
      <c r="L98" s="11"/>
      <c r="M98" s="5"/>
      <c r="N98" s="10" t="str">
        <f aca="false">IF(OR(L98="",M98=""),"",EDATE(L98,M98))</f>
        <v/>
      </c>
      <c r="O98" s="6" t="str">
        <f aca="true">IF(N98="","",IF(N98&lt;TODAY(),"OVERDUE",IF(N98-TODAY()&lt;=30,"Due soon","Current")))</f>
        <v/>
      </c>
      <c r="P98" s="5"/>
    </row>
    <row r="99" customFormat="false" ht="15" hidden="false" customHeight="false" outlineLevel="0" collapsed="false">
      <c r="A99" s="5"/>
      <c r="B99" s="5"/>
      <c r="C99" s="5"/>
      <c r="D99" s="5"/>
      <c r="E99" s="5"/>
      <c r="F99" s="5"/>
      <c r="G99" s="5"/>
      <c r="H99" s="5"/>
      <c r="I99" s="5"/>
      <c r="J99" s="5"/>
      <c r="K99" s="6" t="str">
        <f aca="false">IF(OR(I99="",J99=""),"",CHOOSE(MAX(1,MIN(4,MATCH(I99,{"Low","Medium","High","Extreme"},0)+IF(J99="Effective",-1,IF(J99="Ineffective",1,0)))),"Low","Medium","High","Extreme"))</f>
        <v/>
      </c>
      <c r="L99" s="11"/>
      <c r="M99" s="5"/>
      <c r="N99" s="10" t="str">
        <f aca="false">IF(OR(L99="",M99=""),"",EDATE(L99,M99))</f>
        <v/>
      </c>
      <c r="O99" s="6" t="str">
        <f aca="true">IF(N99="","",IF(N99&lt;TODAY(),"OVERDUE",IF(N99-TODAY()&lt;=30,"Due soon","Current")))</f>
        <v/>
      </c>
      <c r="P99" s="5"/>
    </row>
    <row r="100" customFormat="false" ht="15" hidden="false" customHeight="false" outlineLevel="0" collapsed="false">
      <c r="A100" s="5"/>
      <c r="B100" s="5"/>
      <c r="C100" s="5"/>
      <c r="D100" s="5"/>
      <c r="E100" s="5"/>
      <c r="F100" s="5"/>
      <c r="G100" s="5"/>
      <c r="H100" s="5"/>
      <c r="I100" s="5"/>
      <c r="J100" s="5"/>
      <c r="K100" s="6" t="str">
        <f aca="false">IF(OR(I100="",J100=""),"",CHOOSE(MAX(1,MIN(4,MATCH(I100,{"Low","Medium","High","Extreme"},0)+IF(J100="Effective",-1,IF(J100="Ineffective",1,0)))),"Low","Medium","High","Extreme"))</f>
        <v/>
      </c>
      <c r="L100" s="11"/>
      <c r="M100" s="5"/>
      <c r="N100" s="10" t="str">
        <f aca="false">IF(OR(L100="",M100=""),"",EDATE(L100,M100))</f>
        <v/>
      </c>
      <c r="O100" s="6" t="str">
        <f aca="true">IF(N100="","",IF(N100&lt;TODAY(),"OVERDUE",IF(N100-TODAY()&lt;=30,"Due soon","Current")))</f>
        <v/>
      </c>
      <c r="P100" s="5"/>
    </row>
    <row r="101" customFormat="false" ht="15" hidden="false" customHeight="false" outlineLevel="0" collapsed="false">
      <c r="A101" s="5"/>
      <c r="B101" s="5"/>
      <c r="C101" s="5"/>
      <c r="D101" s="5"/>
      <c r="E101" s="5"/>
      <c r="F101" s="5"/>
      <c r="G101" s="5"/>
      <c r="H101" s="5"/>
      <c r="I101" s="5"/>
      <c r="J101" s="5"/>
      <c r="K101" s="6" t="str">
        <f aca="false">IF(OR(I101="",J101=""),"",CHOOSE(MAX(1,MIN(4,MATCH(I101,{"Low","Medium","High","Extreme"},0)+IF(J101="Effective",-1,IF(J101="Ineffective",1,0)))),"Low","Medium","High","Extreme"))</f>
        <v/>
      </c>
      <c r="L101" s="11"/>
      <c r="M101" s="5"/>
      <c r="N101" s="10" t="str">
        <f aca="false">IF(OR(L101="",M101=""),"",EDATE(L101,M101))</f>
        <v/>
      </c>
      <c r="O101" s="6" t="str">
        <f aca="true">IF(N101="","",IF(N101&lt;TODAY(),"OVERDUE",IF(N101-TODAY()&lt;=30,"Due soon","Current")))</f>
        <v/>
      </c>
      <c r="P101" s="5"/>
    </row>
    <row r="102" customFormat="false" ht="15" hidden="false" customHeight="false" outlineLevel="0" collapsed="false">
      <c r="A102" s="5"/>
      <c r="B102" s="5"/>
      <c r="C102" s="5"/>
      <c r="D102" s="5"/>
      <c r="E102" s="5"/>
      <c r="F102" s="5"/>
      <c r="G102" s="5"/>
      <c r="H102" s="5"/>
      <c r="I102" s="5"/>
      <c r="J102" s="5"/>
      <c r="K102" s="6" t="str">
        <f aca="false">IF(OR(I102="",J102=""),"",CHOOSE(MAX(1,MIN(4,MATCH(I102,{"Low","Medium","High","Extreme"},0)+IF(J102="Effective",-1,IF(J102="Ineffective",1,0)))),"Low","Medium","High","Extreme"))</f>
        <v/>
      </c>
      <c r="L102" s="11"/>
      <c r="M102" s="5"/>
      <c r="N102" s="10" t="str">
        <f aca="false">IF(OR(L102="",M102=""),"",EDATE(L102,M102))</f>
        <v/>
      </c>
      <c r="O102" s="6" t="str">
        <f aca="true">IF(N102="","",IF(N102&lt;TODAY(),"OVERDUE",IF(N102-TODAY()&lt;=30,"Due soon","Current")))</f>
        <v/>
      </c>
      <c r="P102" s="5"/>
    </row>
    <row r="103" customFormat="false" ht="15" hidden="false" customHeight="false" outlineLevel="0" collapsed="false">
      <c r="A103" s="5"/>
      <c r="B103" s="5"/>
      <c r="C103" s="5"/>
      <c r="D103" s="5"/>
      <c r="E103" s="5"/>
      <c r="F103" s="5"/>
      <c r="G103" s="5"/>
      <c r="H103" s="5"/>
      <c r="I103" s="5"/>
      <c r="J103" s="5"/>
      <c r="K103" s="6" t="str">
        <f aca="false">IF(OR(I103="",J103=""),"",CHOOSE(MAX(1,MIN(4,MATCH(I103,{"Low","Medium","High","Extreme"},0)+IF(J103="Effective",-1,IF(J103="Ineffective",1,0)))),"Low","Medium","High","Extreme"))</f>
        <v/>
      </c>
      <c r="L103" s="11"/>
      <c r="M103" s="5"/>
      <c r="N103" s="10" t="str">
        <f aca="false">IF(OR(L103="",M103=""),"",EDATE(L103,M103))</f>
        <v/>
      </c>
      <c r="O103" s="6" t="str">
        <f aca="true">IF(N103="","",IF(N103&lt;TODAY(),"OVERDUE",IF(N103-TODAY()&lt;=30,"Due soon","Current")))</f>
        <v/>
      </c>
      <c r="P103" s="5"/>
    </row>
    <row r="104" customFormat="false" ht="15" hidden="false" customHeight="false" outlineLevel="0" collapsed="false">
      <c r="A104" s="5"/>
      <c r="B104" s="5"/>
      <c r="C104" s="5"/>
      <c r="D104" s="5"/>
      <c r="E104" s="5"/>
      <c r="F104" s="5"/>
      <c r="G104" s="5"/>
      <c r="H104" s="5"/>
      <c r="I104" s="5"/>
      <c r="J104" s="5"/>
      <c r="K104" s="6" t="str">
        <f aca="false">IF(OR(I104="",J104=""),"",CHOOSE(MAX(1,MIN(4,MATCH(I104,{"Low","Medium","High","Extreme"},0)+IF(J104="Effective",-1,IF(J104="Ineffective",1,0)))),"Low","Medium","High","Extreme"))</f>
        <v/>
      </c>
      <c r="L104" s="11"/>
      <c r="M104" s="5"/>
      <c r="N104" s="10" t="str">
        <f aca="false">IF(OR(L104="",M104=""),"",EDATE(L104,M104))</f>
        <v/>
      </c>
      <c r="O104" s="6" t="str">
        <f aca="true">IF(N104="","",IF(N104&lt;TODAY(),"OVERDUE",IF(N104-TODAY()&lt;=30,"Due soon","Current")))</f>
        <v/>
      </c>
      <c r="P104" s="5"/>
    </row>
    <row r="105" customFormat="false" ht="15" hidden="false" customHeight="false" outlineLevel="0" collapsed="false">
      <c r="A105" s="5"/>
      <c r="B105" s="5"/>
      <c r="C105" s="5"/>
      <c r="D105" s="5"/>
      <c r="E105" s="5"/>
      <c r="F105" s="5"/>
      <c r="G105" s="5"/>
      <c r="H105" s="5"/>
      <c r="I105" s="5"/>
      <c r="J105" s="5"/>
      <c r="K105" s="6" t="str">
        <f aca="false">IF(OR(I105="",J105=""),"",CHOOSE(MAX(1,MIN(4,MATCH(I105,{"Low","Medium","High","Extreme"},0)+IF(J105="Effective",-1,IF(J105="Ineffective",1,0)))),"Low","Medium","High","Extreme"))</f>
        <v/>
      </c>
      <c r="L105" s="11"/>
      <c r="M105" s="5"/>
      <c r="N105" s="10" t="str">
        <f aca="false">IF(OR(L105="",M105=""),"",EDATE(L105,M105))</f>
        <v/>
      </c>
      <c r="O105" s="6" t="str">
        <f aca="true">IF(N105="","",IF(N105&lt;TODAY(),"OVERDUE",IF(N105-TODAY()&lt;=30,"Due soon","Current")))</f>
        <v/>
      </c>
      <c r="P105" s="5"/>
    </row>
    <row r="106" customFormat="false" ht="15" hidden="false" customHeight="false" outlineLevel="0" collapsed="false">
      <c r="A106" s="5"/>
      <c r="B106" s="5"/>
      <c r="C106" s="5"/>
      <c r="D106" s="5"/>
      <c r="E106" s="5"/>
      <c r="F106" s="5"/>
      <c r="G106" s="5"/>
      <c r="H106" s="5"/>
      <c r="I106" s="5"/>
      <c r="J106" s="5"/>
      <c r="K106" s="6" t="str">
        <f aca="false">IF(OR(I106="",J106=""),"",CHOOSE(MAX(1,MIN(4,MATCH(I106,{"Low","Medium","High","Extreme"},0)+IF(J106="Effective",-1,IF(J106="Ineffective",1,0)))),"Low","Medium","High","Extreme"))</f>
        <v/>
      </c>
      <c r="L106" s="11"/>
      <c r="M106" s="5"/>
      <c r="N106" s="10" t="str">
        <f aca="false">IF(OR(L106="",M106=""),"",EDATE(L106,M106))</f>
        <v/>
      </c>
      <c r="O106" s="6" t="str">
        <f aca="true">IF(N106="","",IF(N106&lt;TODAY(),"OVERDUE",IF(N106-TODAY()&lt;=30,"Due soon","Current")))</f>
        <v/>
      </c>
      <c r="P106" s="5"/>
    </row>
    <row r="107" customFormat="false" ht="15" hidden="false" customHeight="false" outlineLevel="0" collapsed="false">
      <c r="A107" s="5"/>
      <c r="B107" s="5"/>
      <c r="C107" s="5"/>
      <c r="D107" s="5"/>
      <c r="E107" s="5"/>
      <c r="F107" s="5"/>
      <c r="G107" s="5"/>
      <c r="H107" s="5"/>
      <c r="I107" s="5"/>
      <c r="J107" s="5"/>
      <c r="K107" s="6" t="str">
        <f aca="false">IF(OR(I107="",J107=""),"",CHOOSE(MAX(1,MIN(4,MATCH(I107,{"Low","Medium","High","Extreme"},0)+IF(J107="Effective",-1,IF(J107="Ineffective",1,0)))),"Low","Medium","High","Extreme"))</f>
        <v/>
      </c>
      <c r="L107" s="11"/>
      <c r="M107" s="5"/>
      <c r="N107" s="10" t="str">
        <f aca="false">IF(OR(L107="",M107=""),"",EDATE(L107,M107))</f>
        <v/>
      </c>
      <c r="O107" s="6" t="str">
        <f aca="true">IF(N107="","",IF(N107&lt;TODAY(),"OVERDUE",IF(N107-TODAY()&lt;=30,"Due soon","Current")))</f>
        <v/>
      </c>
      <c r="P107" s="5"/>
    </row>
    <row r="108" customFormat="false" ht="15" hidden="false" customHeight="false" outlineLevel="0" collapsed="false">
      <c r="A108" s="5"/>
      <c r="B108" s="5"/>
      <c r="C108" s="5"/>
      <c r="D108" s="5"/>
      <c r="E108" s="5"/>
      <c r="F108" s="5"/>
      <c r="G108" s="5"/>
      <c r="H108" s="5"/>
      <c r="I108" s="5"/>
      <c r="J108" s="5"/>
      <c r="K108" s="6" t="str">
        <f aca="false">IF(OR(I108="",J108=""),"",CHOOSE(MAX(1,MIN(4,MATCH(I108,{"Low","Medium","High","Extreme"},0)+IF(J108="Effective",-1,IF(J108="Ineffective",1,0)))),"Low","Medium","High","Extreme"))</f>
        <v/>
      </c>
      <c r="L108" s="11"/>
      <c r="M108" s="5"/>
      <c r="N108" s="10" t="str">
        <f aca="false">IF(OR(L108="",M108=""),"",EDATE(L108,M108))</f>
        <v/>
      </c>
      <c r="O108" s="6" t="str">
        <f aca="true">IF(N108="","",IF(N108&lt;TODAY(),"OVERDUE",IF(N108-TODAY()&lt;=30,"Due soon","Current")))</f>
        <v/>
      </c>
      <c r="P108" s="5"/>
    </row>
    <row r="109" customFormat="false" ht="15" hidden="false" customHeight="false" outlineLevel="0" collapsed="false">
      <c r="A109" s="5"/>
      <c r="B109" s="5"/>
      <c r="C109" s="5"/>
      <c r="D109" s="5"/>
      <c r="E109" s="5"/>
      <c r="F109" s="5"/>
      <c r="G109" s="5"/>
      <c r="H109" s="5"/>
      <c r="I109" s="5"/>
      <c r="J109" s="5"/>
      <c r="K109" s="6" t="str">
        <f aca="false">IF(OR(I109="",J109=""),"",CHOOSE(MAX(1,MIN(4,MATCH(I109,{"Low","Medium","High","Extreme"},0)+IF(J109="Effective",-1,IF(J109="Ineffective",1,0)))),"Low","Medium","High","Extreme"))</f>
        <v/>
      </c>
      <c r="L109" s="11"/>
      <c r="M109" s="5"/>
      <c r="N109" s="10" t="str">
        <f aca="false">IF(OR(L109="",M109=""),"",EDATE(L109,M109))</f>
        <v/>
      </c>
      <c r="O109" s="6" t="str">
        <f aca="true">IF(N109="","",IF(N109&lt;TODAY(),"OVERDUE",IF(N109-TODAY()&lt;=30,"Due soon","Current")))</f>
        <v/>
      </c>
      <c r="P109" s="5"/>
    </row>
    <row r="110" customFormat="false" ht="15" hidden="false" customHeight="false" outlineLevel="0" collapsed="false">
      <c r="A110" s="5"/>
      <c r="B110" s="5"/>
      <c r="C110" s="5"/>
      <c r="D110" s="5"/>
      <c r="E110" s="5"/>
      <c r="F110" s="5"/>
      <c r="G110" s="5"/>
      <c r="H110" s="5"/>
      <c r="I110" s="5"/>
      <c r="J110" s="5"/>
      <c r="K110" s="6" t="str">
        <f aca="false">IF(OR(I110="",J110=""),"",CHOOSE(MAX(1,MIN(4,MATCH(I110,{"Low","Medium","High","Extreme"},0)+IF(J110="Effective",-1,IF(J110="Ineffective",1,0)))),"Low","Medium","High","Extreme"))</f>
        <v/>
      </c>
      <c r="L110" s="11"/>
      <c r="M110" s="5"/>
      <c r="N110" s="10" t="str">
        <f aca="false">IF(OR(L110="",M110=""),"",EDATE(L110,M110))</f>
        <v/>
      </c>
      <c r="O110" s="6" t="str">
        <f aca="true">IF(N110="","",IF(N110&lt;TODAY(),"OVERDUE",IF(N110-TODAY()&lt;=30,"Due soon","Current")))</f>
        <v/>
      </c>
      <c r="P110" s="5"/>
    </row>
    <row r="111" customFormat="false" ht="15" hidden="false" customHeight="false" outlineLevel="0" collapsed="false">
      <c r="A111" s="5"/>
      <c r="B111" s="5"/>
      <c r="C111" s="5"/>
      <c r="D111" s="5"/>
      <c r="E111" s="5"/>
      <c r="F111" s="5"/>
      <c r="G111" s="5"/>
      <c r="H111" s="5"/>
      <c r="I111" s="5"/>
      <c r="J111" s="5"/>
      <c r="K111" s="6" t="str">
        <f aca="false">IF(OR(I111="",J111=""),"",CHOOSE(MAX(1,MIN(4,MATCH(I111,{"Low","Medium","High","Extreme"},0)+IF(J111="Effective",-1,IF(J111="Ineffective",1,0)))),"Low","Medium","High","Extreme"))</f>
        <v/>
      </c>
      <c r="L111" s="11"/>
      <c r="M111" s="5"/>
      <c r="N111" s="10" t="str">
        <f aca="false">IF(OR(L111="",M111=""),"",EDATE(L111,M111))</f>
        <v/>
      </c>
      <c r="O111" s="6" t="str">
        <f aca="true">IF(N111="","",IF(N111&lt;TODAY(),"OVERDUE",IF(N111-TODAY()&lt;=30,"Due soon","Current")))</f>
        <v/>
      </c>
      <c r="P111" s="5"/>
    </row>
    <row r="112" customFormat="false" ht="15" hidden="false" customHeight="false" outlineLevel="0" collapsed="false">
      <c r="A112" s="5"/>
      <c r="B112" s="5"/>
      <c r="C112" s="5"/>
      <c r="D112" s="5"/>
      <c r="E112" s="5"/>
      <c r="F112" s="5"/>
      <c r="G112" s="5"/>
      <c r="H112" s="5"/>
      <c r="I112" s="5"/>
      <c r="J112" s="5"/>
      <c r="K112" s="6" t="str">
        <f aca="false">IF(OR(I112="",J112=""),"",CHOOSE(MAX(1,MIN(4,MATCH(I112,{"Low","Medium","High","Extreme"},0)+IF(J112="Effective",-1,IF(J112="Ineffective",1,0)))),"Low","Medium","High","Extreme"))</f>
        <v/>
      </c>
      <c r="L112" s="11"/>
      <c r="M112" s="5"/>
      <c r="N112" s="10" t="str">
        <f aca="false">IF(OR(L112="",M112=""),"",EDATE(L112,M112))</f>
        <v/>
      </c>
      <c r="O112" s="6" t="str">
        <f aca="true">IF(N112="","",IF(N112&lt;TODAY(),"OVERDUE",IF(N112-TODAY()&lt;=30,"Due soon","Current")))</f>
        <v/>
      </c>
      <c r="P112" s="5"/>
    </row>
    <row r="113" customFormat="false" ht="15" hidden="false" customHeight="false" outlineLevel="0" collapsed="false">
      <c r="A113" s="5"/>
      <c r="B113" s="5"/>
      <c r="C113" s="5"/>
      <c r="D113" s="5"/>
      <c r="E113" s="5"/>
      <c r="F113" s="5"/>
      <c r="G113" s="5"/>
      <c r="H113" s="5"/>
      <c r="I113" s="5"/>
      <c r="J113" s="5"/>
      <c r="K113" s="6" t="str">
        <f aca="false">IF(OR(I113="",J113=""),"",CHOOSE(MAX(1,MIN(4,MATCH(I113,{"Low","Medium","High","Extreme"},0)+IF(J113="Effective",-1,IF(J113="Ineffective",1,0)))),"Low","Medium","High","Extreme"))</f>
        <v/>
      </c>
      <c r="L113" s="11"/>
      <c r="M113" s="5"/>
      <c r="N113" s="10" t="str">
        <f aca="false">IF(OR(L113="",M113=""),"",EDATE(L113,M113))</f>
        <v/>
      </c>
      <c r="O113" s="6" t="str">
        <f aca="true">IF(N113="","",IF(N113&lt;TODAY(),"OVERDUE",IF(N113-TODAY()&lt;=30,"Due soon","Current")))</f>
        <v/>
      </c>
      <c r="P113" s="5"/>
    </row>
    <row r="114" customFormat="false" ht="15" hidden="false" customHeight="false" outlineLevel="0" collapsed="false">
      <c r="A114" s="5"/>
      <c r="B114" s="5"/>
      <c r="C114" s="5"/>
      <c r="D114" s="5"/>
      <c r="E114" s="5"/>
      <c r="F114" s="5"/>
      <c r="G114" s="5"/>
      <c r="H114" s="5"/>
      <c r="I114" s="5"/>
      <c r="J114" s="5"/>
      <c r="K114" s="6" t="str">
        <f aca="false">IF(OR(I114="",J114=""),"",CHOOSE(MAX(1,MIN(4,MATCH(I114,{"Low","Medium","High","Extreme"},0)+IF(J114="Effective",-1,IF(J114="Ineffective",1,0)))),"Low","Medium","High","Extreme"))</f>
        <v/>
      </c>
      <c r="L114" s="11"/>
      <c r="M114" s="5"/>
      <c r="N114" s="10" t="str">
        <f aca="false">IF(OR(L114="",M114=""),"",EDATE(L114,M114))</f>
        <v/>
      </c>
      <c r="O114" s="6" t="str">
        <f aca="true">IF(N114="","",IF(N114&lt;TODAY(),"OVERDUE",IF(N114-TODAY()&lt;=30,"Due soon","Current")))</f>
        <v/>
      </c>
      <c r="P114" s="5"/>
    </row>
    <row r="115" customFormat="false" ht="15" hidden="false" customHeight="false" outlineLevel="0" collapsed="false">
      <c r="A115" s="5"/>
      <c r="B115" s="5"/>
      <c r="C115" s="5"/>
      <c r="D115" s="5"/>
      <c r="E115" s="5"/>
      <c r="F115" s="5"/>
      <c r="G115" s="5"/>
      <c r="H115" s="5"/>
      <c r="I115" s="5"/>
      <c r="J115" s="5"/>
      <c r="K115" s="6" t="str">
        <f aca="false">IF(OR(I115="",J115=""),"",CHOOSE(MAX(1,MIN(4,MATCH(I115,{"Low","Medium","High","Extreme"},0)+IF(J115="Effective",-1,IF(J115="Ineffective",1,0)))),"Low","Medium","High","Extreme"))</f>
        <v/>
      </c>
      <c r="L115" s="11"/>
      <c r="M115" s="5"/>
      <c r="N115" s="10" t="str">
        <f aca="false">IF(OR(L115="",M115=""),"",EDATE(L115,M115))</f>
        <v/>
      </c>
      <c r="O115" s="6" t="str">
        <f aca="true">IF(N115="","",IF(N115&lt;TODAY(),"OVERDUE",IF(N115-TODAY()&lt;=30,"Due soon","Current")))</f>
        <v/>
      </c>
      <c r="P115" s="5"/>
    </row>
    <row r="116" customFormat="false" ht="15" hidden="false" customHeight="false" outlineLevel="0" collapsed="false">
      <c r="A116" s="5"/>
      <c r="B116" s="5"/>
      <c r="C116" s="5"/>
      <c r="D116" s="5"/>
      <c r="E116" s="5"/>
      <c r="F116" s="5"/>
      <c r="G116" s="5"/>
      <c r="H116" s="5"/>
      <c r="I116" s="5"/>
      <c r="J116" s="5"/>
      <c r="K116" s="6" t="str">
        <f aca="false">IF(OR(I116="",J116=""),"",CHOOSE(MAX(1,MIN(4,MATCH(I116,{"Low","Medium","High","Extreme"},0)+IF(J116="Effective",-1,IF(J116="Ineffective",1,0)))),"Low","Medium","High","Extreme"))</f>
        <v/>
      </c>
      <c r="L116" s="11"/>
      <c r="M116" s="5"/>
      <c r="N116" s="10" t="str">
        <f aca="false">IF(OR(L116="",M116=""),"",EDATE(L116,M116))</f>
        <v/>
      </c>
      <c r="O116" s="6" t="str">
        <f aca="true">IF(N116="","",IF(N116&lt;TODAY(),"OVERDUE",IF(N116-TODAY()&lt;=30,"Due soon","Current")))</f>
        <v/>
      </c>
      <c r="P116" s="5"/>
    </row>
    <row r="117" customFormat="false" ht="15" hidden="false" customHeight="false" outlineLevel="0" collapsed="false">
      <c r="A117" s="5"/>
      <c r="B117" s="5"/>
      <c r="C117" s="5"/>
      <c r="D117" s="5"/>
      <c r="E117" s="5"/>
      <c r="F117" s="5"/>
      <c r="G117" s="5"/>
      <c r="H117" s="5"/>
      <c r="I117" s="5"/>
      <c r="J117" s="5"/>
      <c r="K117" s="6" t="str">
        <f aca="false">IF(OR(I117="",J117=""),"",CHOOSE(MAX(1,MIN(4,MATCH(I117,{"Low","Medium","High","Extreme"},0)+IF(J117="Effective",-1,IF(J117="Ineffective",1,0)))),"Low","Medium","High","Extreme"))</f>
        <v/>
      </c>
      <c r="L117" s="11"/>
      <c r="M117" s="5"/>
      <c r="N117" s="10" t="str">
        <f aca="false">IF(OR(L117="",M117=""),"",EDATE(L117,M117))</f>
        <v/>
      </c>
      <c r="O117" s="6" t="str">
        <f aca="true">IF(N117="","",IF(N117&lt;TODAY(),"OVERDUE",IF(N117-TODAY()&lt;=30,"Due soon","Current")))</f>
        <v/>
      </c>
      <c r="P117" s="5"/>
    </row>
    <row r="118" customFormat="false" ht="15" hidden="false" customHeight="false" outlineLevel="0" collapsed="false">
      <c r="A118" s="5"/>
      <c r="B118" s="5"/>
      <c r="C118" s="5"/>
      <c r="D118" s="5"/>
      <c r="E118" s="5"/>
      <c r="F118" s="5"/>
      <c r="G118" s="5"/>
      <c r="H118" s="5"/>
      <c r="I118" s="5"/>
      <c r="J118" s="5"/>
      <c r="K118" s="6" t="str">
        <f aca="false">IF(OR(I118="",J118=""),"",CHOOSE(MAX(1,MIN(4,MATCH(I118,{"Low","Medium","High","Extreme"},0)+IF(J118="Effective",-1,IF(J118="Ineffective",1,0)))),"Low","Medium","High","Extreme"))</f>
        <v/>
      </c>
      <c r="L118" s="11"/>
      <c r="M118" s="5"/>
      <c r="N118" s="10" t="str">
        <f aca="false">IF(OR(L118="",M118=""),"",EDATE(L118,M118))</f>
        <v/>
      </c>
      <c r="O118" s="6" t="str">
        <f aca="true">IF(N118="","",IF(N118&lt;TODAY(),"OVERDUE",IF(N118-TODAY()&lt;=30,"Due soon","Current")))</f>
        <v/>
      </c>
      <c r="P118" s="5"/>
    </row>
    <row r="119" customFormat="false" ht="15" hidden="false" customHeight="false" outlineLevel="0" collapsed="false">
      <c r="A119" s="5"/>
      <c r="B119" s="5"/>
      <c r="C119" s="5"/>
      <c r="D119" s="5"/>
      <c r="E119" s="5"/>
      <c r="F119" s="5"/>
      <c r="G119" s="5"/>
      <c r="H119" s="5"/>
      <c r="I119" s="5"/>
      <c r="J119" s="5"/>
      <c r="K119" s="6" t="str">
        <f aca="false">IF(OR(I119="",J119=""),"",CHOOSE(MAX(1,MIN(4,MATCH(I119,{"Low","Medium","High","Extreme"},0)+IF(J119="Effective",-1,IF(J119="Ineffective",1,0)))),"Low","Medium","High","Extreme"))</f>
        <v/>
      </c>
      <c r="L119" s="11"/>
      <c r="M119" s="5"/>
      <c r="N119" s="10" t="str">
        <f aca="false">IF(OR(L119="",M119=""),"",EDATE(L119,M119))</f>
        <v/>
      </c>
      <c r="O119" s="6" t="str">
        <f aca="true">IF(N119="","",IF(N119&lt;TODAY(),"OVERDUE",IF(N119-TODAY()&lt;=30,"Due soon","Current")))</f>
        <v/>
      </c>
      <c r="P119" s="5"/>
    </row>
    <row r="120" customFormat="false" ht="15" hidden="false" customHeight="false" outlineLevel="0" collapsed="false">
      <c r="A120" s="5"/>
      <c r="B120" s="5"/>
      <c r="C120" s="5"/>
      <c r="D120" s="5"/>
      <c r="E120" s="5"/>
      <c r="F120" s="5"/>
      <c r="G120" s="5"/>
      <c r="H120" s="5"/>
      <c r="I120" s="5"/>
      <c r="J120" s="5"/>
      <c r="K120" s="6" t="str">
        <f aca="false">IF(OR(I120="",J120=""),"",CHOOSE(MAX(1,MIN(4,MATCH(I120,{"Low","Medium","High","Extreme"},0)+IF(J120="Effective",-1,IF(J120="Ineffective",1,0)))),"Low","Medium","High","Extreme"))</f>
        <v/>
      </c>
      <c r="L120" s="11"/>
      <c r="M120" s="5"/>
      <c r="N120" s="10" t="str">
        <f aca="false">IF(OR(L120="",M120=""),"",EDATE(L120,M120))</f>
        <v/>
      </c>
      <c r="O120" s="6" t="str">
        <f aca="true">IF(N120="","",IF(N120&lt;TODAY(),"OVERDUE",IF(N120-TODAY()&lt;=30,"Due soon","Current")))</f>
        <v/>
      </c>
      <c r="P120" s="5"/>
    </row>
    <row r="121" customFormat="false" ht="15" hidden="false" customHeight="false" outlineLevel="0" collapsed="false">
      <c r="A121" s="5"/>
      <c r="B121" s="5"/>
      <c r="C121" s="5"/>
      <c r="D121" s="5"/>
      <c r="E121" s="5"/>
      <c r="F121" s="5"/>
      <c r="G121" s="5"/>
      <c r="H121" s="5"/>
      <c r="I121" s="5"/>
      <c r="J121" s="5"/>
      <c r="K121" s="6" t="str">
        <f aca="false">IF(OR(I121="",J121=""),"",CHOOSE(MAX(1,MIN(4,MATCH(I121,{"Low","Medium","High","Extreme"},0)+IF(J121="Effective",-1,IF(J121="Ineffective",1,0)))),"Low","Medium","High","Extreme"))</f>
        <v/>
      </c>
      <c r="L121" s="11"/>
      <c r="M121" s="5"/>
      <c r="N121" s="10" t="str">
        <f aca="false">IF(OR(L121="",M121=""),"",EDATE(L121,M121))</f>
        <v/>
      </c>
      <c r="O121" s="6" t="str">
        <f aca="true">IF(N121="","",IF(N121&lt;TODAY(),"OVERDUE",IF(N121-TODAY()&lt;=30,"Due soon","Current")))</f>
        <v/>
      </c>
      <c r="P121" s="5"/>
    </row>
    <row r="122" customFormat="false" ht="15" hidden="false" customHeight="false" outlineLevel="0" collapsed="false">
      <c r="A122" s="5"/>
      <c r="B122" s="5"/>
      <c r="C122" s="5"/>
      <c r="D122" s="5"/>
      <c r="E122" s="5"/>
      <c r="F122" s="5"/>
      <c r="G122" s="5"/>
      <c r="H122" s="5"/>
      <c r="I122" s="5"/>
      <c r="J122" s="5"/>
      <c r="K122" s="6" t="str">
        <f aca="false">IF(OR(I122="",J122=""),"",CHOOSE(MAX(1,MIN(4,MATCH(I122,{"Low","Medium","High","Extreme"},0)+IF(J122="Effective",-1,IF(J122="Ineffective",1,0)))),"Low","Medium","High","Extreme"))</f>
        <v/>
      </c>
      <c r="L122" s="11"/>
      <c r="M122" s="5"/>
      <c r="N122" s="10" t="str">
        <f aca="false">IF(OR(L122="",M122=""),"",EDATE(L122,M122))</f>
        <v/>
      </c>
      <c r="O122" s="6" t="str">
        <f aca="true">IF(N122="","",IF(N122&lt;TODAY(),"OVERDUE",IF(N122-TODAY()&lt;=30,"Due soon","Current")))</f>
        <v/>
      </c>
      <c r="P122" s="5"/>
    </row>
    <row r="123" customFormat="false" ht="15" hidden="false" customHeight="false" outlineLevel="0" collapsed="false">
      <c r="A123" s="5"/>
      <c r="B123" s="5"/>
      <c r="C123" s="5"/>
      <c r="D123" s="5"/>
      <c r="E123" s="5"/>
      <c r="F123" s="5"/>
      <c r="G123" s="5"/>
      <c r="H123" s="5"/>
      <c r="I123" s="5"/>
      <c r="J123" s="5"/>
      <c r="K123" s="6" t="str">
        <f aca="false">IF(OR(I123="",J123=""),"",CHOOSE(MAX(1,MIN(4,MATCH(I123,{"Low","Medium","High","Extreme"},0)+IF(J123="Effective",-1,IF(J123="Ineffective",1,0)))),"Low","Medium","High","Extreme"))</f>
        <v/>
      </c>
      <c r="L123" s="11"/>
      <c r="M123" s="5"/>
      <c r="N123" s="10" t="str">
        <f aca="false">IF(OR(L123="",M123=""),"",EDATE(L123,M123))</f>
        <v/>
      </c>
      <c r="O123" s="6" t="str">
        <f aca="true">IF(N123="","",IF(N123&lt;TODAY(),"OVERDUE",IF(N123-TODAY()&lt;=30,"Due soon","Current")))</f>
        <v/>
      </c>
      <c r="P123" s="5"/>
    </row>
    <row r="124" customFormat="false" ht="15" hidden="false" customHeight="false" outlineLevel="0" collapsed="false">
      <c r="A124" s="5"/>
      <c r="B124" s="5"/>
      <c r="C124" s="5"/>
      <c r="D124" s="5"/>
      <c r="E124" s="5"/>
      <c r="F124" s="5"/>
      <c r="G124" s="5"/>
      <c r="H124" s="5"/>
      <c r="I124" s="5"/>
      <c r="J124" s="5"/>
      <c r="K124" s="6" t="str">
        <f aca="false">IF(OR(I124="",J124=""),"",CHOOSE(MAX(1,MIN(4,MATCH(I124,{"Low","Medium","High","Extreme"},0)+IF(J124="Effective",-1,IF(J124="Ineffective",1,0)))),"Low","Medium","High","Extreme"))</f>
        <v/>
      </c>
      <c r="L124" s="11"/>
      <c r="M124" s="5"/>
      <c r="N124" s="10" t="str">
        <f aca="false">IF(OR(L124="",M124=""),"",EDATE(L124,M124))</f>
        <v/>
      </c>
      <c r="O124" s="6" t="str">
        <f aca="true">IF(N124="","",IF(N124&lt;TODAY(),"OVERDUE",IF(N124-TODAY()&lt;=30,"Due soon","Current")))</f>
        <v/>
      </c>
      <c r="P124" s="5"/>
    </row>
    <row r="125" customFormat="false" ht="15" hidden="false" customHeight="false" outlineLevel="0" collapsed="false">
      <c r="A125" s="5"/>
      <c r="B125" s="5"/>
      <c r="C125" s="5"/>
      <c r="D125" s="5"/>
      <c r="E125" s="5"/>
      <c r="F125" s="5"/>
      <c r="G125" s="5"/>
      <c r="H125" s="5"/>
      <c r="I125" s="5"/>
      <c r="J125" s="5"/>
      <c r="K125" s="6" t="str">
        <f aca="false">IF(OR(I125="",J125=""),"",CHOOSE(MAX(1,MIN(4,MATCH(I125,{"Low","Medium","High","Extreme"},0)+IF(J125="Effective",-1,IF(J125="Ineffective",1,0)))),"Low","Medium","High","Extreme"))</f>
        <v/>
      </c>
      <c r="L125" s="11"/>
      <c r="M125" s="5"/>
      <c r="N125" s="10" t="str">
        <f aca="false">IF(OR(L125="",M125=""),"",EDATE(L125,M125))</f>
        <v/>
      </c>
      <c r="O125" s="6" t="str">
        <f aca="true">IF(N125="","",IF(N125&lt;TODAY(),"OVERDUE",IF(N125-TODAY()&lt;=30,"Due soon","Current")))</f>
        <v/>
      </c>
      <c r="P125" s="5"/>
    </row>
    <row r="126" customFormat="false" ht="15" hidden="false" customHeight="false" outlineLevel="0" collapsed="false">
      <c r="A126" s="5"/>
      <c r="B126" s="5"/>
      <c r="C126" s="5"/>
      <c r="D126" s="5"/>
      <c r="E126" s="5"/>
      <c r="F126" s="5"/>
      <c r="G126" s="5"/>
      <c r="H126" s="5"/>
      <c r="I126" s="5"/>
      <c r="J126" s="5"/>
      <c r="K126" s="6" t="str">
        <f aca="false">IF(OR(I126="",J126=""),"",CHOOSE(MAX(1,MIN(4,MATCH(I126,{"Low","Medium","High","Extreme"},0)+IF(J126="Effective",-1,IF(J126="Ineffective",1,0)))),"Low","Medium","High","Extreme"))</f>
        <v/>
      </c>
      <c r="L126" s="11"/>
      <c r="M126" s="5"/>
      <c r="N126" s="10" t="str">
        <f aca="false">IF(OR(L126="",M126=""),"",EDATE(L126,M126))</f>
        <v/>
      </c>
      <c r="O126" s="6" t="str">
        <f aca="true">IF(N126="","",IF(N126&lt;TODAY(),"OVERDUE",IF(N126-TODAY()&lt;=30,"Due soon","Current")))</f>
        <v/>
      </c>
      <c r="P126" s="5"/>
    </row>
    <row r="127" customFormat="false" ht="15" hidden="false" customHeight="false" outlineLevel="0" collapsed="false">
      <c r="A127" s="5"/>
      <c r="B127" s="5"/>
      <c r="C127" s="5"/>
      <c r="D127" s="5"/>
      <c r="E127" s="5"/>
      <c r="F127" s="5"/>
      <c r="G127" s="5"/>
      <c r="H127" s="5"/>
      <c r="I127" s="5"/>
      <c r="J127" s="5"/>
      <c r="K127" s="6" t="str">
        <f aca="false">IF(OR(I127="",J127=""),"",CHOOSE(MAX(1,MIN(4,MATCH(I127,{"Low","Medium","High","Extreme"},0)+IF(J127="Effective",-1,IF(J127="Ineffective",1,0)))),"Low","Medium","High","Extreme"))</f>
        <v/>
      </c>
      <c r="L127" s="11"/>
      <c r="M127" s="5"/>
      <c r="N127" s="10" t="str">
        <f aca="false">IF(OR(L127="",M127=""),"",EDATE(L127,M127))</f>
        <v/>
      </c>
      <c r="O127" s="6" t="str">
        <f aca="true">IF(N127="","",IF(N127&lt;TODAY(),"OVERDUE",IF(N127-TODAY()&lt;=30,"Due soon","Current")))</f>
        <v/>
      </c>
      <c r="P127" s="5"/>
    </row>
    <row r="128" customFormat="false" ht="15" hidden="false" customHeight="false" outlineLevel="0" collapsed="false">
      <c r="A128" s="5"/>
      <c r="B128" s="5"/>
      <c r="C128" s="5"/>
      <c r="D128" s="5"/>
      <c r="E128" s="5"/>
      <c r="F128" s="5"/>
      <c r="G128" s="5"/>
      <c r="H128" s="5"/>
      <c r="I128" s="5"/>
      <c r="J128" s="5"/>
      <c r="K128" s="6" t="str">
        <f aca="false">IF(OR(I128="",J128=""),"",CHOOSE(MAX(1,MIN(4,MATCH(I128,{"Low","Medium","High","Extreme"},0)+IF(J128="Effective",-1,IF(J128="Ineffective",1,0)))),"Low","Medium","High","Extreme"))</f>
        <v/>
      </c>
      <c r="L128" s="11"/>
      <c r="M128" s="5"/>
      <c r="N128" s="10" t="str">
        <f aca="false">IF(OR(L128="",M128=""),"",EDATE(L128,M128))</f>
        <v/>
      </c>
      <c r="O128" s="6" t="str">
        <f aca="true">IF(N128="","",IF(N128&lt;TODAY(),"OVERDUE",IF(N128-TODAY()&lt;=30,"Due soon","Current")))</f>
        <v/>
      </c>
      <c r="P128" s="5"/>
    </row>
    <row r="129" customFormat="false" ht="15" hidden="false" customHeight="false" outlineLevel="0" collapsed="false">
      <c r="A129" s="5"/>
      <c r="B129" s="5"/>
      <c r="C129" s="5"/>
      <c r="D129" s="5"/>
      <c r="E129" s="5"/>
      <c r="F129" s="5"/>
      <c r="G129" s="5"/>
      <c r="H129" s="5"/>
      <c r="I129" s="5"/>
      <c r="J129" s="5"/>
      <c r="K129" s="6" t="str">
        <f aca="false">IF(OR(I129="",J129=""),"",CHOOSE(MAX(1,MIN(4,MATCH(I129,{"Low","Medium","High","Extreme"},0)+IF(J129="Effective",-1,IF(J129="Ineffective",1,0)))),"Low","Medium","High","Extreme"))</f>
        <v/>
      </c>
      <c r="L129" s="11"/>
      <c r="M129" s="5"/>
      <c r="N129" s="10" t="str">
        <f aca="false">IF(OR(L129="",M129=""),"",EDATE(L129,M129))</f>
        <v/>
      </c>
      <c r="O129" s="6" t="str">
        <f aca="true">IF(N129="","",IF(N129&lt;TODAY(),"OVERDUE",IF(N129-TODAY()&lt;=30,"Due soon","Current")))</f>
        <v/>
      </c>
      <c r="P129" s="5"/>
    </row>
    <row r="130" customFormat="false" ht="15" hidden="false" customHeight="false" outlineLevel="0" collapsed="false">
      <c r="A130" s="5"/>
      <c r="B130" s="5"/>
      <c r="C130" s="5"/>
      <c r="D130" s="5"/>
      <c r="E130" s="5"/>
      <c r="F130" s="5"/>
      <c r="G130" s="5"/>
      <c r="H130" s="5"/>
      <c r="I130" s="5"/>
      <c r="J130" s="5"/>
      <c r="K130" s="6" t="str">
        <f aca="false">IF(OR(I130="",J130=""),"",CHOOSE(MAX(1,MIN(4,MATCH(I130,{"Low","Medium","High","Extreme"},0)+IF(J130="Effective",-1,IF(J130="Ineffective",1,0)))),"Low","Medium","High","Extreme"))</f>
        <v/>
      </c>
      <c r="L130" s="11"/>
      <c r="M130" s="5"/>
      <c r="N130" s="10" t="str">
        <f aca="false">IF(OR(L130="",M130=""),"",EDATE(L130,M130))</f>
        <v/>
      </c>
      <c r="O130" s="6" t="str">
        <f aca="true">IF(N130="","",IF(N130&lt;TODAY(),"OVERDUE",IF(N130-TODAY()&lt;=30,"Due soon","Current")))</f>
        <v/>
      </c>
      <c r="P130" s="5"/>
    </row>
    <row r="131" customFormat="false" ht="15" hidden="false" customHeight="false" outlineLevel="0" collapsed="false">
      <c r="A131" s="5"/>
      <c r="B131" s="5"/>
      <c r="C131" s="5"/>
      <c r="D131" s="5"/>
      <c r="E131" s="5"/>
      <c r="F131" s="5"/>
      <c r="G131" s="5"/>
      <c r="H131" s="5"/>
      <c r="I131" s="5"/>
      <c r="J131" s="5"/>
      <c r="K131" s="6" t="str">
        <f aca="false">IF(OR(I131="",J131=""),"",CHOOSE(MAX(1,MIN(4,MATCH(I131,{"Low","Medium","High","Extreme"},0)+IF(J131="Effective",-1,IF(J131="Ineffective",1,0)))),"Low","Medium","High","Extreme"))</f>
        <v/>
      </c>
      <c r="L131" s="11"/>
      <c r="M131" s="5"/>
      <c r="N131" s="10" t="str">
        <f aca="false">IF(OR(L131="",M131=""),"",EDATE(L131,M131))</f>
        <v/>
      </c>
      <c r="O131" s="6" t="str">
        <f aca="true">IF(N131="","",IF(N131&lt;TODAY(),"OVERDUE",IF(N131-TODAY()&lt;=30,"Due soon","Current")))</f>
        <v/>
      </c>
      <c r="P131" s="5"/>
    </row>
    <row r="132" customFormat="false" ht="15" hidden="false" customHeight="false" outlineLevel="0" collapsed="false">
      <c r="A132" s="5"/>
      <c r="B132" s="5"/>
      <c r="C132" s="5"/>
      <c r="D132" s="5"/>
      <c r="E132" s="5"/>
      <c r="F132" s="5"/>
      <c r="G132" s="5"/>
      <c r="H132" s="5"/>
      <c r="I132" s="5"/>
      <c r="J132" s="5"/>
      <c r="K132" s="6" t="str">
        <f aca="false">IF(OR(I132="",J132=""),"",CHOOSE(MAX(1,MIN(4,MATCH(I132,{"Low","Medium","High","Extreme"},0)+IF(J132="Effective",-1,IF(J132="Ineffective",1,0)))),"Low","Medium","High","Extreme"))</f>
        <v/>
      </c>
      <c r="L132" s="11"/>
      <c r="M132" s="5"/>
      <c r="N132" s="10" t="str">
        <f aca="false">IF(OR(L132="",M132=""),"",EDATE(L132,M132))</f>
        <v/>
      </c>
      <c r="O132" s="6" t="str">
        <f aca="true">IF(N132="","",IF(N132&lt;TODAY(),"OVERDUE",IF(N132-TODAY()&lt;=30,"Due soon","Current")))</f>
        <v/>
      </c>
      <c r="P132" s="5"/>
    </row>
    <row r="133" customFormat="false" ht="15" hidden="false" customHeight="false" outlineLevel="0" collapsed="false">
      <c r="A133" s="5"/>
      <c r="B133" s="5"/>
      <c r="C133" s="5"/>
      <c r="D133" s="5"/>
      <c r="E133" s="5"/>
      <c r="F133" s="5"/>
      <c r="G133" s="5"/>
      <c r="H133" s="5"/>
      <c r="I133" s="5"/>
      <c r="J133" s="5"/>
      <c r="K133" s="6" t="str">
        <f aca="false">IF(OR(I133="",J133=""),"",CHOOSE(MAX(1,MIN(4,MATCH(I133,{"Low","Medium","High","Extreme"},0)+IF(J133="Effective",-1,IF(J133="Ineffective",1,0)))),"Low","Medium","High","Extreme"))</f>
        <v/>
      </c>
      <c r="L133" s="11"/>
      <c r="M133" s="5"/>
      <c r="N133" s="10" t="str">
        <f aca="false">IF(OR(L133="",M133=""),"",EDATE(L133,M133))</f>
        <v/>
      </c>
      <c r="O133" s="6" t="str">
        <f aca="true">IF(N133="","",IF(N133&lt;TODAY(),"OVERDUE",IF(N133-TODAY()&lt;=30,"Due soon","Current")))</f>
        <v/>
      </c>
      <c r="P133" s="5"/>
    </row>
    <row r="134" customFormat="false" ht="15" hidden="false" customHeight="false" outlineLevel="0" collapsed="false">
      <c r="A134" s="5"/>
      <c r="B134" s="5"/>
      <c r="C134" s="5"/>
      <c r="D134" s="5"/>
      <c r="E134" s="5"/>
      <c r="F134" s="5"/>
      <c r="G134" s="5"/>
      <c r="H134" s="5"/>
      <c r="I134" s="5"/>
      <c r="J134" s="5"/>
      <c r="K134" s="6" t="str">
        <f aca="false">IF(OR(I134="",J134=""),"",CHOOSE(MAX(1,MIN(4,MATCH(I134,{"Low","Medium","High","Extreme"},0)+IF(J134="Effective",-1,IF(J134="Ineffective",1,0)))),"Low","Medium","High","Extreme"))</f>
        <v/>
      </c>
      <c r="L134" s="11"/>
      <c r="M134" s="5"/>
      <c r="N134" s="10" t="str">
        <f aca="false">IF(OR(L134="",M134=""),"",EDATE(L134,M134))</f>
        <v/>
      </c>
      <c r="O134" s="6" t="str">
        <f aca="true">IF(N134="","",IF(N134&lt;TODAY(),"OVERDUE",IF(N134-TODAY()&lt;=30,"Due soon","Current")))</f>
        <v/>
      </c>
      <c r="P134" s="5"/>
    </row>
    <row r="135" customFormat="false" ht="15" hidden="false" customHeight="false" outlineLevel="0" collapsed="false">
      <c r="A135" s="5"/>
      <c r="B135" s="5"/>
      <c r="C135" s="5"/>
      <c r="D135" s="5"/>
      <c r="E135" s="5"/>
      <c r="F135" s="5"/>
      <c r="G135" s="5"/>
      <c r="H135" s="5"/>
      <c r="I135" s="5"/>
      <c r="J135" s="5"/>
      <c r="K135" s="6" t="str">
        <f aca="false">IF(OR(I135="",J135=""),"",CHOOSE(MAX(1,MIN(4,MATCH(I135,{"Low","Medium","High","Extreme"},0)+IF(J135="Effective",-1,IF(J135="Ineffective",1,0)))),"Low","Medium","High","Extreme"))</f>
        <v/>
      </c>
      <c r="L135" s="11"/>
      <c r="M135" s="5"/>
      <c r="N135" s="10" t="str">
        <f aca="false">IF(OR(L135="",M135=""),"",EDATE(L135,M135))</f>
        <v/>
      </c>
      <c r="O135" s="6" t="str">
        <f aca="true">IF(N135="","",IF(N135&lt;TODAY(),"OVERDUE",IF(N135-TODAY()&lt;=30,"Due soon","Current")))</f>
        <v/>
      </c>
      <c r="P135" s="5"/>
    </row>
    <row r="136" customFormat="false" ht="15" hidden="false" customHeight="false" outlineLevel="0" collapsed="false">
      <c r="A136" s="5"/>
      <c r="B136" s="5"/>
      <c r="C136" s="5"/>
      <c r="D136" s="5"/>
      <c r="E136" s="5"/>
      <c r="F136" s="5"/>
      <c r="G136" s="5"/>
      <c r="H136" s="5"/>
      <c r="I136" s="5"/>
      <c r="J136" s="5"/>
      <c r="K136" s="6" t="str">
        <f aca="false">IF(OR(I136="",J136=""),"",CHOOSE(MAX(1,MIN(4,MATCH(I136,{"Low","Medium","High","Extreme"},0)+IF(J136="Effective",-1,IF(J136="Ineffective",1,0)))),"Low","Medium","High","Extreme"))</f>
        <v/>
      </c>
      <c r="L136" s="11"/>
      <c r="M136" s="5"/>
      <c r="N136" s="10" t="str">
        <f aca="false">IF(OR(L136="",M136=""),"",EDATE(L136,M136))</f>
        <v/>
      </c>
      <c r="O136" s="6" t="str">
        <f aca="true">IF(N136="","",IF(N136&lt;TODAY(),"OVERDUE",IF(N136-TODAY()&lt;=30,"Due soon","Current")))</f>
        <v/>
      </c>
      <c r="P136" s="5"/>
    </row>
    <row r="137" customFormat="false" ht="15" hidden="false" customHeight="false" outlineLevel="0" collapsed="false">
      <c r="A137" s="5"/>
      <c r="B137" s="5"/>
      <c r="C137" s="5"/>
      <c r="D137" s="5"/>
      <c r="E137" s="5"/>
      <c r="F137" s="5"/>
      <c r="G137" s="5"/>
      <c r="H137" s="5"/>
      <c r="I137" s="5"/>
      <c r="J137" s="5"/>
      <c r="K137" s="6" t="str">
        <f aca="false">IF(OR(I137="",J137=""),"",CHOOSE(MAX(1,MIN(4,MATCH(I137,{"Low","Medium","High","Extreme"},0)+IF(J137="Effective",-1,IF(J137="Ineffective",1,0)))),"Low","Medium","High","Extreme"))</f>
        <v/>
      </c>
      <c r="L137" s="11"/>
      <c r="M137" s="5"/>
      <c r="N137" s="10" t="str">
        <f aca="false">IF(OR(L137="",M137=""),"",EDATE(L137,M137))</f>
        <v/>
      </c>
      <c r="O137" s="6" t="str">
        <f aca="true">IF(N137="","",IF(N137&lt;TODAY(),"OVERDUE",IF(N137-TODAY()&lt;=30,"Due soon","Current")))</f>
        <v/>
      </c>
      <c r="P137" s="5"/>
    </row>
    <row r="138" customFormat="false" ht="15" hidden="false" customHeight="false" outlineLevel="0" collapsed="false">
      <c r="A138" s="5"/>
      <c r="B138" s="5"/>
      <c r="C138" s="5"/>
      <c r="D138" s="5"/>
      <c r="E138" s="5"/>
      <c r="F138" s="5"/>
      <c r="G138" s="5"/>
      <c r="H138" s="5"/>
      <c r="I138" s="5"/>
      <c r="J138" s="5"/>
      <c r="K138" s="6" t="str">
        <f aca="false">IF(OR(I138="",J138=""),"",CHOOSE(MAX(1,MIN(4,MATCH(I138,{"Low","Medium","High","Extreme"},0)+IF(J138="Effective",-1,IF(J138="Ineffective",1,0)))),"Low","Medium","High","Extreme"))</f>
        <v/>
      </c>
      <c r="L138" s="11"/>
      <c r="M138" s="5"/>
      <c r="N138" s="10" t="str">
        <f aca="false">IF(OR(L138="",M138=""),"",EDATE(L138,M138))</f>
        <v/>
      </c>
      <c r="O138" s="6" t="str">
        <f aca="true">IF(N138="","",IF(N138&lt;TODAY(),"OVERDUE",IF(N138-TODAY()&lt;=30,"Due soon","Current")))</f>
        <v/>
      </c>
      <c r="P138" s="5"/>
    </row>
    <row r="139" customFormat="false" ht="15" hidden="false" customHeight="false" outlineLevel="0" collapsed="false">
      <c r="A139" s="5"/>
      <c r="B139" s="5"/>
      <c r="C139" s="5"/>
      <c r="D139" s="5"/>
      <c r="E139" s="5"/>
      <c r="F139" s="5"/>
      <c r="G139" s="5"/>
      <c r="H139" s="5"/>
      <c r="I139" s="5"/>
      <c r="J139" s="5"/>
      <c r="K139" s="6" t="str">
        <f aca="false">IF(OR(I139="",J139=""),"",CHOOSE(MAX(1,MIN(4,MATCH(I139,{"Low","Medium","High","Extreme"},0)+IF(J139="Effective",-1,IF(J139="Ineffective",1,0)))),"Low","Medium","High","Extreme"))</f>
        <v/>
      </c>
      <c r="L139" s="11"/>
      <c r="M139" s="5"/>
      <c r="N139" s="10" t="str">
        <f aca="false">IF(OR(L139="",M139=""),"",EDATE(L139,M139))</f>
        <v/>
      </c>
      <c r="O139" s="6" t="str">
        <f aca="true">IF(N139="","",IF(N139&lt;TODAY(),"OVERDUE",IF(N139-TODAY()&lt;=30,"Due soon","Current")))</f>
        <v/>
      </c>
      <c r="P139" s="5"/>
    </row>
    <row r="140" customFormat="false" ht="15" hidden="false" customHeight="false" outlineLevel="0" collapsed="false">
      <c r="A140" s="5"/>
      <c r="B140" s="5"/>
      <c r="C140" s="5"/>
      <c r="D140" s="5"/>
      <c r="E140" s="5"/>
      <c r="F140" s="5"/>
      <c r="G140" s="5"/>
      <c r="H140" s="5"/>
      <c r="I140" s="5"/>
      <c r="J140" s="5"/>
      <c r="K140" s="6" t="str">
        <f aca="false">IF(OR(I140="",J140=""),"",CHOOSE(MAX(1,MIN(4,MATCH(I140,{"Low","Medium","High","Extreme"},0)+IF(J140="Effective",-1,IF(J140="Ineffective",1,0)))),"Low","Medium","High","Extreme"))</f>
        <v/>
      </c>
      <c r="L140" s="11"/>
      <c r="M140" s="5"/>
      <c r="N140" s="10" t="str">
        <f aca="false">IF(OR(L140="",M140=""),"",EDATE(L140,M140))</f>
        <v/>
      </c>
      <c r="O140" s="6" t="str">
        <f aca="true">IF(N140="","",IF(N140&lt;TODAY(),"OVERDUE",IF(N140-TODAY()&lt;=30,"Due soon","Current")))</f>
        <v/>
      </c>
      <c r="P140" s="5"/>
    </row>
    <row r="141" customFormat="false" ht="15" hidden="false" customHeight="false" outlineLevel="0" collapsed="false">
      <c r="A141" s="5"/>
      <c r="B141" s="5"/>
      <c r="C141" s="5"/>
      <c r="D141" s="5"/>
      <c r="E141" s="5"/>
      <c r="F141" s="5"/>
      <c r="G141" s="5"/>
      <c r="H141" s="5"/>
      <c r="I141" s="5"/>
      <c r="J141" s="5"/>
      <c r="K141" s="6" t="str">
        <f aca="false">IF(OR(I141="",J141=""),"",CHOOSE(MAX(1,MIN(4,MATCH(I141,{"Low","Medium","High","Extreme"},0)+IF(J141="Effective",-1,IF(J141="Ineffective",1,0)))),"Low","Medium","High","Extreme"))</f>
        <v/>
      </c>
      <c r="L141" s="11"/>
      <c r="M141" s="5"/>
      <c r="N141" s="10" t="str">
        <f aca="false">IF(OR(L141="",M141=""),"",EDATE(L141,M141))</f>
        <v/>
      </c>
      <c r="O141" s="6" t="str">
        <f aca="true">IF(N141="","",IF(N141&lt;TODAY(),"OVERDUE",IF(N141-TODAY()&lt;=30,"Due soon","Current")))</f>
        <v/>
      </c>
      <c r="P141" s="5"/>
    </row>
    <row r="142" customFormat="false" ht="15" hidden="false" customHeight="false" outlineLevel="0" collapsed="false">
      <c r="A142" s="5"/>
      <c r="B142" s="5"/>
      <c r="C142" s="5"/>
      <c r="D142" s="5"/>
      <c r="E142" s="5"/>
      <c r="F142" s="5"/>
      <c r="G142" s="5"/>
      <c r="H142" s="5"/>
      <c r="I142" s="5"/>
      <c r="J142" s="5"/>
      <c r="K142" s="6" t="str">
        <f aca="false">IF(OR(I142="",J142=""),"",CHOOSE(MAX(1,MIN(4,MATCH(I142,{"Low","Medium","High","Extreme"},0)+IF(J142="Effective",-1,IF(J142="Ineffective",1,0)))),"Low","Medium","High","Extreme"))</f>
        <v/>
      </c>
      <c r="L142" s="11"/>
      <c r="M142" s="5"/>
      <c r="N142" s="10" t="str">
        <f aca="false">IF(OR(L142="",M142=""),"",EDATE(L142,M142))</f>
        <v/>
      </c>
      <c r="O142" s="6" t="str">
        <f aca="true">IF(N142="","",IF(N142&lt;TODAY(),"OVERDUE",IF(N142-TODAY()&lt;=30,"Due soon","Current")))</f>
        <v/>
      </c>
      <c r="P142" s="5"/>
    </row>
    <row r="143" customFormat="false" ht="15" hidden="false" customHeight="false" outlineLevel="0" collapsed="false">
      <c r="A143" s="5"/>
      <c r="B143" s="5"/>
      <c r="C143" s="5"/>
      <c r="D143" s="5"/>
      <c r="E143" s="5"/>
      <c r="F143" s="5"/>
      <c r="G143" s="5"/>
      <c r="H143" s="5"/>
      <c r="I143" s="5"/>
      <c r="J143" s="5"/>
      <c r="K143" s="6" t="str">
        <f aca="false">IF(OR(I143="",J143=""),"",CHOOSE(MAX(1,MIN(4,MATCH(I143,{"Low","Medium","High","Extreme"},0)+IF(J143="Effective",-1,IF(J143="Ineffective",1,0)))),"Low","Medium","High","Extreme"))</f>
        <v/>
      </c>
      <c r="L143" s="11"/>
      <c r="M143" s="5"/>
      <c r="N143" s="10" t="str">
        <f aca="false">IF(OR(L143="",M143=""),"",EDATE(L143,M143))</f>
        <v/>
      </c>
      <c r="O143" s="6" t="str">
        <f aca="true">IF(N143="","",IF(N143&lt;TODAY(),"OVERDUE",IF(N143-TODAY()&lt;=30,"Due soon","Current")))</f>
        <v/>
      </c>
      <c r="P143" s="5"/>
    </row>
    <row r="144" customFormat="false" ht="15" hidden="false" customHeight="false" outlineLevel="0" collapsed="false">
      <c r="A144" s="5"/>
      <c r="B144" s="5"/>
      <c r="C144" s="5"/>
      <c r="D144" s="5"/>
      <c r="E144" s="5"/>
      <c r="F144" s="5"/>
      <c r="G144" s="5"/>
      <c r="H144" s="5"/>
      <c r="I144" s="5"/>
      <c r="J144" s="5"/>
      <c r="K144" s="6" t="str">
        <f aca="false">IF(OR(I144="",J144=""),"",CHOOSE(MAX(1,MIN(4,MATCH(I144,{"Low","Medium","High","Extreme"},0)+IF(J144="Effective",-1,IF(J144="Ineffective",1,0)))),"Low","Medium","High","Extreme"))</f>
        <v/>
      </c>
      <c r="L144" s="11"/>
      <c r="M144" s="5"/>
      <c r="N144" s="10" t="str">
        <f aca="false">IF(OR(L144="",M144=""),"",EDATE(L144,M144))</f>
        <v/>
      </c>
      <c r="O144" s="6" t="str">
        <f aca="true">IF(N144="","",IF(N144&lt;TODAY(),"OVERDUE",IF(N144-TODAY()&lt;=30,"Due soon","Current")))</f>
        <v/>
      </c>
      <c r="P144" s="5"/>
    </row>
    <row r="145" customFormat="false" ht="15" hidden="false" customHeight="false" outlineLevel="0" collapsed="false">
      <c r="A145" s="5"/>
      <c r="B145" s="5"/>
      <c r="C145" s="5"/>
      <c r="D145" s="5"/>
      <c r="E145" s="5"/>
      <c r="F145" s="5"/>
      <c r="G145" s="5"/>
      <c r="H145" s="5"/>
      <c r="I145" s="5"/>
      <c r="J145" s="5"/>
      <c r="K145" s="6" t="str">
        <f aca="false">IF(OR(I145="",J145=""),"",CHOOSE(MAX(1,MIN(4,MATCH(I145,{"Low","Medium","High","Extreme"},0)+IF(J145="Effective",-1,IF(J145="Ineffective",1,0)))),"Low","Medium","High","Extreme"))</f>
        <v/>
      </c>
      <c r="L145" s="11"/>
      <c r="M145" s="5"/>
      <c r="N145" s="10" t="str">
        <f aca="false">IF(OR(L145="",M145=""),"",EDATE(L145,M145))</f>
        <v/>
      </c>
      <c r="O145" s="6" t="str">
        <f aca="true">IF(N145="","",IF(N145&lt;TODAY(),"OVERDUE",IF(N145-TODAY()&lt;=30,"Due soon","Current")))</f>
        <v/>
      </c>
      <c r="P145" s="5"/>
    </row>
    <row r="146" customFormat="false" ht="15" hidden="false" customHeight="false" outlineLevel="0" collapsed="false">
      <c r="A146" s="5"/>
      <c r="B146" s="5"/>
      <c r="C146" s="5"/>
      <c r="D146" s="5"/>
      <c r="E146" s="5"/>
      <c r="F146" s="5"/>
      <c r="G146" s="5"/>
      <c r="H146" s="5"/>
      <c r="I146" s="5"/>
      <c r="J146" s="5"/>
      <c r="K146" s="6" t="str">
        <f aca="false">IF(OR(I146="",J146=""),"",CHOOSE(MAX(1,MIN(4,MATCH(I146,{"Low","Medium","High","Extreme"},0)+IF(J146="Effective",-1,IF(J146="Ineffective",1,0)))),"Low","Medium","High","Extreme"))</f>
        <v/>
      </c>
      <c r="L146" s="11"/>
      <c r="M146" s="5"/>
      <c r="N146" s="10" t="str">
        <f aca="false">IF(OR(L146="",M146=""),"",EDATE(L146,M146))</f>
        <v/>
      </c>
      <c r="O146" s="6" t="str">
        <f aca="true">IF(N146="","",IF(N146&lt;TODAY(),"OVERDUE",IF(N146-TODAY()&lt;=30,"Due soon","Current")))</f>
        <v/>
      </c>
      <c r="P146" s="5"/>
    </row>
    <row r="147" customFormat="false" ht="15" hidden="false" customHeight="false" outlineLevel="0" collapsed="false">
      <c r="A147" s="5"/>
      <c r="B147" s="5"/>
      <c r="C147" s="5"/>
      <c r="D147" s="5"/>
      <c r="E147" s="5"/>
      <c r="F147" s="5"/>
      <c r="G147" s="5"/>
      <c r="H147" s="5"/>
      <c r="I147" s="5"/>
      <c r="J147" s="5"/>
      <c r="K147" s="6" t="str">
        <f aca="false">IF(OR(I147="",J147=""),"",CHOOSE(MAX(1,MIN(4,MATCH(I147,{"Low","Medium","High","Extreme"},0)+IF(J147="Effective",-1,IF(J147="Ineffective",1,0)))),"Low","Medium","High","Extreme"))</f>
        <v/>
      </c>
      <c r="L147" s="11"/>
      <c r="M147" s="5"/>
      <c r="N147" s="10" t="str">
        <f aca="false">IF(OR(L147="",M147=""),"",EDATE(L147,M147))</f>
        <v/>
      </c>
      <c r="O147" s="6" t="str">
        <f aca="true">IF(N147="","",IF(N147&lt;TODAY(),"OVERDUE",IF(N147-TODAY()&lt;=30,"Due soon","Current")))</f>
        <v/>
      </c>
      <c r="P147" s="5"/>
    </row>
    <row r="148" customFormat="false" ht="15" hidden="false" customHeight="false" outlineLevel="0" collapsed="false">
      <c r="A148" s="5"/>
      <c r="B148" s="5"/>
      <c r="C148" s="5"/>
      <c r="D148" s="5"/>
      <c r="E148" s="5"/>
      <c r="F148" s="5"/>
      <c r="G148" s="5"/>
      <c r="H148" s="5"/>
      <c r="I148" s="5"/>
      <c r="J148" s="5"/>
      <c r="K148" s="6" t="str">
        <f aca="false">IF(OR(I148="",J148=""),"",CHOOSE(MAX(1,MIN(4,MATCH(I148,{"Low","Medium","High","Extreme"},0)+IF(J148="Effective",-1,IF(J148="Ineffective",1,0)))),"Low","Medium","High","Extreme"))</f>
        <v/>
      </c>
      <c r="L148" s="11"/>
      <c r="M148" s="5"/>
      <c r="N148" s="10" t="str">
        <f aca="false">IF(OR(L148="",M148=""),"",EDATE(L148,M148))</f>
        <v/>
      </c>
      <c r="O148" s="6" t="str">
        <f aca="true">IF(N148="","",IF(N148&lt;TODAY(),"OVERDUE",IF(N148-TODAY()&lt;=30,"Due soon","Current")))</f>
        <v/>
      </c>
      <c r="P148" s="5"/>
    </row>
    <row r="149" customFormat="false" ht="15" hidden="false" customHeight="false" outlineLevel="0" collapsed="false">
      <c r="A149" s="5"/>
      <c r="B149" s="5"/>
      <c r="C149" s="5"/>
      <c r="D149" s="5"/>
      <c r="E149" s="5"/>
      <c r="F149" s="5"/>
      <c r="G149" s="5"/>
      <c r="H149" s="5"/>
      <c r="I149" s="5"/>
      <c r="J149" s="5"/>
      <c r="K149" s="6" t="str">
        <f aca="false">IF(OR(I149="",J149=""),"",CHOOSE(MAX(1,MIN(4,MATCH(I149,{"Low","Medium","High","Extreme"},0)+IF(J149="Effective",-1,IF(J149="Ineffective",1,0)))),"Low","Medium","High","Extreme"))</f>
        <v/>
      </c>
      <c r="L149" s="11"/>
      <c r="M149" s="5"/>
      <c r="N149" s="10" t="str">
        <f aca="false">IF(OR(L149="",M149=""),"",EDATE(L149,M149))</f>
        <v/>
      </c>
      <c r="O149" s="6" t="str">
        <f aca="true">IF(N149="","",IF(N149&lt;TODAY(),"OVERDUE",IF(N149-TODAY()&lt;=30,"Due soon","Current")))</f>
        <v/>
      </c>
      <c r="P149" s="5"/>
    </row>
    <row r="150" customFormat="false" ht="15" hidden="false" customHeight="false" outlineLevel="0" collapsed="false">
      <c r="A150" s="5"/>
      <c r="B150" s="5"/>
      <c r="C150" s="5"/>
      <c r="D150" s="5"/>
      <c r="E150" s="5"/>
      <c r="F150" s="5"/>
      <c r="G150" s="5"/>
      <c r="H150" s="5"/>
      <c r="I150" s="5"/>
      <c r="J150" s="5"/>
      <c r="K150" s="6" t="str">
        <f aca="false">IF(OR(I150="",J150=""),"",CHOOSE(MAX(1,MIN(4,MATCH(I150,{"Low","Medium","High","Extreme"},0)+IF(J150="Effective",-1,IF(J150="Ineffective",1,0)))),"Low","Medium","High","Extreme"))</f>
        <v/>
      </c>
      <c r="L150" s="11"/>
      <c r="M150" s="5"/>
      <c r="N150" s="10" t="str">
        <f aca="false">IF(OR(L150="",M150=""),"",EDATE(L150,M150))</f>
        <v/>
      </c>
      <c r="O150" s="6" t="str">
        <f aca="true">IF(N150="","",IF(N150&lt;TODAY(),"OVERDUE",IF(N150-TODAY()&lt;=30,"Due soon","Current")))</f>
        <v/>
      </c>
      <c r="P150" s="5"/>
    </row>
    <row r="151" customFormat="false" ht="15" hidden="false" customHeight="false" outlineLevel="0" collapsed="false">
      <c r="A151" s="5"/>
      <c r="B151" s="5"/>
      <c r="C151" s="5"/>
      <c r="D151" s="5"/>
      <c r="E151" s="5"/>
      <c r="F151" s="5"/>
      <c r="G151" s="5"/>
      <c r="H151" s="5"/>
      <c r="I151" s="5"/>
      <c r="J151" s="5"/>
      <c r="K151" s="6" t="str">
        <f aca="false">IF(OR(I151="",J151=""),"",CHOOSE(MAX(1,MIN(4,MATCH(I151,{"Low","Medium","High","Extreme"},0)+IF(J151="Effective",-1,IF(J151="Ineffective",1,0)))),"Low","Medium","High","Extreme"))</f>
        <v/>
      </c>
      <c r="L151" s="11"/>
      <c r="M151" s="5"/>
      <c r="N151" s="10" t="str">
        <f aca="false">IF(OR(L151="",M151=""),"",EDATE(L151,M151))</f>
        <v/>
      </c>
      <c r="O151" s="6" t="str">
        <f aca="true">IF(N151="","",IF(N151&lt;TODAY(),"OVERDUE",IF(N151-TODAY()&lt;=30,"Due soon","Current")))</f>
        <v/>
      </c>
      <c r="P151" s="5"/>
    </row>
    <row r="152" customFormat="false" ht="15" hidden="false" customHeight="false" outlineLevel="0" collapsed="false">
      <c r="A152" s="5"/>
      <c r="B152" s="5"/>
      <c r="C152" s="5"/>
      <c r="D152" s="5"/>
      <c r="E152" s="5"/>
      <c r="F152" s="5"/>
      <c r="G152" s="5"/>
      <c r="H152" s="5"/>
      <c r="I152" s="5"/>
      <c r="J152" s="5"/>
      <c r="K152" s="6" t="str">
        <f aca="false">IF(OR(I152="",J152=""),"",CHOOSE(MAX(1,MIN(4,MATCH(I152,{"Low","Medium","High","Extreme"},0)+IF(J152="Effective",-1,IF(J152="Ineffective",1,0)))),"Low","Medium","High","Extreme"))</f>
        <v/>
      </c>
      <c r="L152" s="11"/>
      <c r="M152" s="5"/>
      <c r="N152" s="10" t="str">
        <f aca="false">IF(OR(L152="",M152=""),"",EDATE(L152,M152))</f>
        <v/>
      </c>
      <c r="O152" s="6" t="str">
        <f aca="true">IF(N152="","",IF(N152&lt;TODAY(),"OVERDUE",IF(N152-TODAY()&lt;=30,"Due soon","Current")))</f>
        <v/>
      </c>
      <c r="P152" s="5"/>
    </row>
    <row r="153" customFormat="false" ht="15" hidden="false" customHeight="false" outlineLevel="0" collapsed="false">
      <c r="A153" s="5"/>
      <c r="B153" s="5"/>
      <c r="C153" s="5"/>
      <c r="D153" s="5"/>
      <c r="E153" s="5"/>
      <c r="F153" s="5"/>
      <c r="G153" s="5"/>
      <c r="H153" s="5"/>
      <c r="I153" s="5"/>
      <c r="J153" s="5"/>
      <c r="K153" s="6" t="str">
        <f aca="false">IF(OR(I153="",J153=""),"",CHOOSE(MAX(1,MIN(4,MATCH(I153,{"Low","Medium","High","Extreme"},0)+IF(J153="Effective",-1,IF(J153="Ineffective",1,0)))),"Low","Medium","High","Extreme"))</f>
        <v/>
      </c>
      <c r="L153" s="11"/>
      <c r="M153" s="5"/>
      <c r="N153" s="10" t="str">
        <f aca="false">IF(OR(L153="",M153=""),"",EDATE(L153,M153))</f>
        <v/>
      </c>
      <c r="O153" s="6" t="str">
        <f aca="true">IF(N153="","",IF(N153&lt;TODAY(),"OVERDUE",IF(N153-TODAY()&lt;=30,"Due soon","Current")))</f>
        <v/>
      </c>
      <c r="P153" s="5"/>
    </row>
    <row r="154" customFormat="false" ht="15" hidden="false" customHeight="false" outlineLevel="0" collapsed="false">
      <c r="A154" s="5"/>
      <c r="B154" s="5"/>
      <c r="C154" s="5"/>
      <c r="D154" s="5"/>
      <c r="E154" s="5"/>
      <c r="F154" s="5"/>
      <c r="G154" s="5"/>
      <c r="H154" s="5"/>
      <c r="I154" s="5"/>
      <c r="J154" s="5"/>
      <c r="K154" s="6" t="str">
        <f aca="false">IF(OR(I154="",J154=""),"",CHOOSE(MAX(1,MIN(4,MATCH(I154,{"Low","Medium","High","Extreme"},0)+IF(J154="Effective",-1,IF(J154="Ineffective",1,0)))),"Low","Medium","High","Extreme"))</f>
        <v/>
      </c>
      <c r="L154" s="11"/>
      <c r="M154" s="5"/>
      <c r="N154" s="10" t="str">
        <f aca="false">IF(OR(L154="",M154=""),"",EDATE(L154,M154))</f>
        <v/>
      </c>
      <c r="O154" s="6" t="str">
        <f aca="true">IF(N154="","",IF(N154&lt;TODAY(),"OVERDUE",IF(N154-TODAY()&lt;=30,"Due soon","Current")))</f>
        <v/>
      </c>
      <c r="P154" s="5"/>
    </row>
  </sheetData>
  <autoFilter ref="A4:P154"/>
  <conditionalFormatting sqref="I5:I154">
    <cfRule type="expression" priority="2" aboveAverage="0" equalAverage="0" bottom="0" percent="0" rank="0" text="" dxfId="9">
      <formula>I5="Low"</formula>
    </cfRule>
    <cfRule type="expression" priority="3" aboveAverage="0" equalAverage="0" bottom="0" percent="0" rank="0" text="" dxfId="10">
      <formula>I5="Medium"</formula>
    </cfRule>
    <cfRule type="expression" priority="4" aboveAverage="0" equalAverage="0" bottom="0" percent="0" rank="0" text="" dxfId="11">
      <formula>I5="High"</formula>
    </cfRule>
    <cfRule type="expression" priority="5" aboveAverage="0" equalAverage="0" bottom="0" percent="0" rank="0" text="" dxfId="12">
      <formula>I5="Extreme"</formula>
    </cfRule>
  </conditionalFormatting>
  <conditionalFormatting sqref="K5:K154">
    <cfRule type="expression" priority="6" aboveAverage="0" equalAverage="0" bottom="0" percent="0" rank="0" text="" dxfId="9">
      <formula>K5="Low"</formula>
    </cfRule>
    <cfRule type="expression" priority="7" aboveAverage="0" equalAverage="0" bottom="0" percent="0" rank="0" text="" dxfId="10">
      <formula>K5="Medium"</formula>
    </cfRule>
    <cfRule type="expression" priority="8" aboveAverage="0" equalAverage="0" bottom="0" percent="0" rank="0" text="" dxfId="11">
      <formula>K5="High"</formula>
    </cfRule>
    <cfRule type="expression" priority="9" aboveAverage="0" equalAverage="0" bottom="0" percent="0" rank="0" text="" dxfId="12">
      <formula>K5="Extreme"</formula>
    </cfRule>
  </conditionalFormatting>
  <conditionalFormatting sqref="O5:O154">
    <cfRule type="expression" priority="10" aboveAverage="0" equalAverage="0" bottom="0" percent="0" rank="0" text="" dxfId="9">
      <formula>O5="Green"</formula>
    </cfRule>
    <cfRule type="expression" priority="11" aboveAverage="0" equalAverage="0" bottom="0" percent="0" rank="0" text="" dxfId="10">
      <formula>O5="Amber"</formula>
    </cfRule>
    <cfRule type="expression" priority="12" aboveAverage="0" equalAverage="0" bottom="0" percent="0" rank="0" text="" dxfId="12">
      <formula>O5="Red"</formula>
    </cfRule>
    <cfRule type="expression" priority="13" aboveAverage="0" equalAverage="0" bottom="0" percent="0" rank="0" text="" dxfId="12">
      <formula>O5="OVERDUE"</formula>
    </cfRule>
    <cfRule type="expression" priority="14" aboveAverage="0" equalAverage="0" bottom="0" percent="0" rank="0" text="" dxfId="10">
      <formula>O5="Due soon"</formula>
    </cfRule>
  </conditionalFormatting>
  <dataValidations count="3">
    <dataValidation allowBlank="true" error="Please choose a value from the drop-down list." errorStyle="stop" operator="between" showDropDown="false" showErrorMessage="true" showInputMessage="false" sqref="B5:B154" type="list">
      <formula1>Lists!$A$5:$A$13</formula1>
      <formula2>0</formula2>
    </dataValidation>
    <dataValidation allowBlank="true" error="Please choose a value from the drop-down list." errorStyle="stop" operator="between" showDropDown="false" showErrorMessage="true" showInputMessage="false" sqref="I5:I154" type="list">
      <formula1>Lists!$B$5:$B$8</formula1>
      <formula2>0</formula2>
    </dataValidation>
    <dataValidation allowBlank="true" error="Please choose a value from the drop-down list." errorStyle="stop" operator="between" showDropDown="false" showErrorMessage="true" showInputMessage="false" sqref="J5:J154" type="list">
      <formula1>Lists!$C$5:$C$8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25.5" hidden="false" customHeight="true" outlineLevel="0" collapsed="false">
      <c r="A1" s="1" t="s">
        <v>64</v>
      </c>
    </row>
    <row r="2" customFormat="false" ht="15" hidden="false" customHeight="false" outlineLevel="0" collapsed="false">
      <c r="A2" s="2" t="s">
        <v>65</v>
      </c>
    </row>
    <row r="4" customFormat="false" ht="31.5" hidden="false" customHeight="true" outlineLevel="0" collapsed="false">
      <c r="A4" s="8" t="s">
        <v>66</v>
      </c>
      <c r="B4" s="8" t="s">
        <v>67</v>
      </c>
    </row>
    <row r="5" customFormat="false" ht="15" hidden="false" customHeight="false" outlineLevel="0" collapsed="false">
      <c r="A5" s="12" t="s">
        <v>68</v>
      </c>
      <c r="B5" s="13" t="n">
        <f aca="false">COUNTA('Obligations register'!$A$5:$A$154)</f>
        <v>3</v>
      </c>
    </row>
    <row r="6" customFormat="false" ht="15" hidden="false" customHeight="false" outlineLevel="0" collapsed="false">
      <c r="A6" s="12" t="s">
        <v>69</v>
      </c>
      <c r="B6" s="13" t="n">
        <f aca="false">COUNTIF('Obligations register'!$O$5:$O$154,"OVERDUE")</f>
        <v>1</v>
      </c>
    </row>
    <row r="7" customFormat="false" ht="15" hidden="false" customHeight="false" outlineLevel="0" collapsed="false">
      <c r="A7" s="12" t="s">
        <v>70</v>
      </c>
      <c r="B7" s="13" t="n">
        <f aca="false">COUNTIF('Obligations register'!$O$5:$O$154,"Due soon")</f>
        <v>0</v>
      </c>
    </row>
    <row r="8" customFormat="false" ht="15" hidden="false" customHeight="false" outlineLevel="0" collapsed="false">
      <c r="A8" s="12" t="s">
        <v>71</v>
      </c>
      <c r="B8" s="13" t="n">
        <f aca="false">COUNTIF('Obligations register'!$K$5:$K$154,"Extreme")</f>
        <v>1</v>
      </c>
    </row>
    <row r="9" customFormat="false" ht="15" hidden="false" customHeight="false" outlineLevel="0" collapsed="false">
      <c r="A9" s="12" t="s">
        <v>72</v>
      </c>
      <c r="B9" s="13" t="n">
        <f aca="false">COUNTIF('Obligations register'!$K$5:$K$154,"High")</f>
        <v>1</v>
      </c>
    </row>
    <row r="10" customFormat="false" ht="15" hidden="false" customHeight="false" outlineLevel="0" collapsed="false">
      <c r="A10" s="12" t="s">
        <v>73</v>
      </c>
      <c r="B10" s="13" t="n">
        <f aca="false">COUNTIF('Obligations register'!$J$5:$J$154,"Not tested")</f>
        <v>1</v>
      </c>
    </row>
    <row r="11" customFormat="false" ht="15" hidden="false" customHeight="false" outlineLevel="0" collapsed="false">
      <c r="A11" s="12" t="s">
        <v>74</v>
      </c>
      <c r="B11" s="13" t="n">
        <f aca="false">COUNTIF('Obligations register'!$J$5:$J$154,"Ineffective")</f>
        <v>0</v>
      </c>
    </row>
    <row r="13" customFormat="false" ht="31.5" hidden="false" customHeight="true" outlineLevel="0" collapsed="false">
      <c r="A13" s="8" t="s">
        <v>75</v>
      </c>
      <c r="B13" s="8" t="s">
        <v>76</v>
      </c>
    </row>
    <row r="14" customFormat="false" ht="15" hidden="false" customHeight="false" outlineLevel="0" collapsed="false">
      <c r="A14" s="12" t="s">
        <v>36</v>
      </c>
      <c r="B14" s="13" t="n">
        <f aca="false">COUNTIF('Obligations register'!$B$5:$B$154,A14)</f>
        <v>2</v>
      </c>
    </row>
    <row r="15" customFormat="false" ht="15" hidden="false" customHeight="false" outlineLevel="0" collapsed="false">
      <c r="A15" s="12" t="s">
        <v>77</v>
      </c>
      <c r="B15" s="13" t="n">
        <f aca="false">COUNTIF('Obligations register'!$B$5:$B$154,A15)</f>
        <v>0</v>
      </c>
    </row>
    <row r="16" customFormat="false" ht="15" hidden="false" customHeight="false" outlineLevel="0" collapsed="false">
      <c r="A16" s="12" t="s">
        <v>56</v>
      </c>
      <c r="B16" s="13" t="n">
        <f aca="false">COUNTIF('Obligations register'!$B$5:$B$154,A16)</f>
        <v>1</v>
      </c>
    </row>
    <row r="17" customFormat="false" ht="15" hidden="false" customHeight="false" outlineLevel="0" collapsed="false">
      <c r="A17" s="12" t="s">
        <v>78</v>
      </c>
      <c r="B17" s="13" t="n">
        <f aca="false">COUNTIF('Obligations register'!$B$5:$B$154,A17)</f>
        <v>0</v>
      </c>
    </row>
    <row r="18" customFormat="false" ht="15" hidden="false" customHeight="false" outlineLevel="0" collapsed="false">
      <c r="A18" s="12" t="s">
        <v>79</v>
      </c>
      <c r="B18" s="13" t="n">
        <f aca="false">COUNTIF('Obligations register'!$B$5:$B$154,A18)</f>
        <v>0</v>
      </c>
    </row>
    <row r="19" customFormat="false" ht="15" hidden="false" customHeight="false" outlineLevel="0" collapsed="false">
      <c r="A19" s="12" t="s">
        <v>80</v>
      </c>
      <c r="B19" s="13" t="n">
        <f aca="false">COUNTIF('Obligations register'!$B$5:$B$154,A19)</f>
        <v>0</v>
      </c>
    </row>
    <row r="20" customFormat="false" ht="15" hidden="false" customHeight="false" outlineLevel="0" collapsed="false">
      <c r="A20" s="12" t="s">
        <v>81</v>
      </c>
      <c r="B20" s="13" t="n">
        <f aca="false">COUNTIF('Obligations register'!$B$5:$B$154,A20)</f>
        <v>0</v>
      </c>
    </row>
    <row r="21" customFormat="false" ht="15" hidden="false" customHeight="false" outlineLevel="0" collapsed="false">
      <c r="A21" s="12" t="s">
        <v>82</v>
      </c>
      <c r="B21" s="13" t="n">
        <f aca="false">COUNTIF('Obligations register'!$B$5:$B$154,A21)</f>
        <v>0</v>
      </c>
    </row>
    <row r="22" customFormat="false" ht="15" hidden="false" customHeight="false" outlineLevel="0" collapsed="false">
      <c r="A22" s="12" t="s">
        <v>83</v>
      </c>
      <c r="B22" s="13" t="n">
        <f aca="false">COUNTIF('Obligations register'!$B$5:$B$154,A22)</f>
        <v>0</v>
      </c>
    </row>
    <row r="24" customFormat="false" ht="31.5" hidden="false" customHeight="true" outlineLevel="0" collapsed="false">
      <c r="A24" s="8" t="s">
        <v>84</v>
      </c>
      <c r="B24" s="8" t="s">
        <v>76</v>
      </c>
    </row>
    <row r="25" customFormat="false" ht="15" hidden="false" customHeight="false" outlineLevel="0" collapsed="false">
      <c r="A25" s="12" t="s">
        <v>85</v>
      </c>
      <c r="B25" s="13" t="n">
        <f aca="false">COUNTIF('Obligations register'!$K$5:$K$154,A25)</f>
        <v>0</v>
      </c>
    </row>
    <row r="26" customFormat="false" ht="15" hidden="false" customHeight="false" outlineLevel="0" collapsed="false">
      <c r="A26" s="12" t="s">
        <v>86</v>
      </c>
      <c r="B26" s="13" t="n">
        <f aca="false">COUNTIF('Obligations register'!$K$5:$K$154,A26)</f>
        <v>1</v>
      </c>
    </row>
    <row r="27" customFormat="false" ht="15" hidden="false" customHeight="false" outlineLevel="0" collapsed="false">
      <c r="A27" s="12" t="s">
        <v>43</v>
      </c>
      <c r="B27" s="13" t="n">
        <f aca="false">COUNTIF('Obligations register'!$K$5:$K$154,A27)</f>
        <v>1</v>
      </c>
    </row>
    <row r="28" customFormat="false" ht="15" hidden="false" customHeight="false" outlineLevel="0" collapsed="false">
      <c r="A28" s="12" t="s">
        <v>53</v>
      </c>
      <c r="B28" s="13" t="n">
        <f aca="false">COUNTIF('Obligations register'!$K$5:$K$154,A28)</f>
        <v>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3" min="1" style="0" width="28"/>
  </cols>
  <sheetData>
    <row r="1" customFormat="false" ht="25.5" hidden="false" customHeight="true" outlineLevel="0" collapsed="false">
      <c r="A1" s="1" t="s">
        <v>87</v>
      </c>
    </row>
    <row r="2" customFormat="false" ht="15" hidden="false" customHeight="false" outlineLevel="0" collapsed="false">
      <c r="A2" s="2" t="s">
        <v>88</v>
      </c>
    </row>
    <row r="4" customFormat="false" ht="15" hidden="false" customHeight="false" outlineLevel="0" collapsed="false">
      <c r="A4" s="14" t="s">
        <v>20</v>
      </c>
      <c r="B4" s="14" t="s">
        <v>89</v>
      </c>
      <c r="C4" s="14" t="s">
        <v>28</v>
      </c>
    </row>
    <row r="5" customFormat="false" ht="15" hidden="false" customHeight="false" outlineLevel="0" collapsed="false">
      <c r="A5" s="5" t="s">
        <v>36</v>
      </c>
      <c r="B5" s="5" t="s">
        <v>85</v>
      </c>
      <c r="C5" s="5" t="s">
        <v>44</v>
      </c>
    </row>
    <row r="6" customFormat="false" ht="15" hidden="false" customHeight="false" outlineLevel="0" collapsed="false">
      <c r="A6" s="5" t="s">
        <v>77</v>
      </c>
      <c r="B6" s="5" t="s">
        <v>86</v>
      </c>
      <c r="C6" s="5" t="s">
        <v>54</v>
      </c>
    </row>
    <row r="7" customFormat="false" ht="15" hidden="false" customHeight="false" outlineLevel="0" collapsed="false">
      <c r="A7" s="5" t="s">
        <v>56</v>
      </c>
      <c r="B7" s="5" t="s">
        <v>43</v>
      </c>
      <c r="C7" s="5" t="s">
        <v>90</v>
      </c>
    </row>
    <row r="8" customFormat="false" ht="15" hidden="false" customHeight="false" outlineLevel="0" collapsed="false">
      <c r="A8" s="5" t="s">
        <v>78</v>
      </c>
      <c r="B8" s="5" t="s">
        <v>53</v>
      </c>
      <c r="C8" s="5" t="s">
        <v>63</v>
      </c>
    </row>
    <row r="9" customFormat="false" ht="15" hidden="false" customHeight="false" outlineLevel="0" collapsed="false">
      <c r="A9" s="5" t="s">
        <v>79</v>
      </c>
    </row>
    <row r="10" customFormat="false" ht="15" hidden="false" customHeight="false" outlineLevel="0" collapsed="false">
      <c r="A10" s="5" t="s">
        <v>80</v>
      </c>
    </row>
    <row r="11" customFormat="false" ht="15" hidden="false" customHeight="false" outlineLevel="0" collapsed="false">
      <c r="A11" s="5" t="s">
        <v>81</v>
      </c>
    </row>
    <row r="12" customFormat="false" ht="15" hidden="false" customHeight="false" outlineLevel="0" collapsed="false">
      <c r="A12" s="5" t="s">
        <v>82</v>
      </c>
    </row>
    <row r="13" customFormat="false" ht="15" hidden="false" customHeight="false" outlineLevel="0" collapsed="false">
      <c r="A13" s="5" t="s">
        <v>83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2026-09-28T05:53:10Z</dcterms:created>
  <dc:creator>openpyxl</dc:creator>
  <dc:description/>
  <dc:language>en-US</dc:language>
  <cp:lastModifiedBy/>
  <dcterms:modified xsi:type="dcterms:W3CDTF">2026-09-28T05:53:10Z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