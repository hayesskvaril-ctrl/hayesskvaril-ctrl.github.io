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cales" sheetId="2" state="visible" r:id="rId4"/>
    <sheet name="Risk assessment" sheetId="3" state="visible" r:id="rId5"/>
    <sheet name="Heat map" sheetId="4" state="visible" r:id="rId6"/>
  </sheets>
  <definedNames>
    <definedName function="false" hidden="true" localSheetId="2" name="_xlnm._FilterDatabase" vbProcedure="false">'Risk assessment'!$A$4:$AA$64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<sst xmlns="http://schemas.openxmlformats.org/spreadsheetml/2006/main" count="191" uniqueCount="171">
  <si>
    <t xml:space="preserve">Risk assessment template</t>
  </si>
  <si>
    <t xml:space="preserve">RiskLens Australia · free template · version 1.0 (September 2026)</t>
  </si>
  <si>
    <t xml:space="preserve">What this is</t>
  </si>
  <si>
    <t xml:space="preserve">A simple risk register for identifying, rating and treating risks. It follows the common likelihood × consequence approach explained at https://hayesskvaril-ctrl.github.io/risk-management/risk-assessment-methodologies.html</t>
  </si>
  <si>
    <t xml:space="preserve">How to use it</t>
  </si>
  <si>
    <t xml:space="preserve">1. Review the 'Scales' tab and adjust the descriptions to suit your organisation (and your approved risk management framework).
2. In 'Risk assessment', describe each risk (cause, event, consequence), rate it before controls (inherent), list key controls, then rate it with current controls (residual).
3. Decide on treatment for risks outside appetite, and record actions, owners and due dates.
4. The 'Heat map' tab updates automatically from the residual and inherent ratings.</t>
  </si>
  <si>
    <t xml:space="preserve">Colour key</t>
  </si>
  <si>
    <t xml:space="preserve">Pale yellow cells: fill these in (many have drop-down lists).
Grey-blue cells: calculated automatically; don't type over them.
Green row: a worked example. Replace or delete it.</t>
  </si>
  <si>
    <t xml:space="preserve">Appetite setting</t>
  </si>
  <si>
    <t xml:space="preserve">The 'Scales' tab has one cell for the highest residual score treated as within appetite (default 9 = top of Medium). Change it to match your risk appetite statement.</t>
  </si>
  <si>
    <t xml:space="preserve">Tips</t>
  </si>
  <si>
    <t xml:space="preserve">Describe risks as cause → event → consequence. Rate the most likely credible impact, not the worst imaginable one (use scenario analysis for extremes). Record evidence for control effectiveness, such as recent control testing.</t>
  </si>
  <si>
    <t xml:space="preserve">Important</t>
  </si>
  <si>
    <t xml:space="preserve">RiskLens Australia provides general educational information only. It is not legal, financial or compliance advice and does not take into account your circumstances. Always refer to the official legislation and regulator guidance, and seek professional advice where appropriate.</t>
  </si>
  <si>
    <t xml:space="preserve">Fill in</t>
  </si>
  <si>
    <t xml:space="preserve">Calculated</t>
  </si>
  <si>
    <t xml:space="preserve">Example</t>
  </si>
  <si>
    <t xml:space="preserve">Rating scales</t>
  </si>
  <si>
    <t xml:space="preserve">Examples only. Replace with the scales in your organisation's approved risk management framework.</t>
  </si>
  <si>
    <t xml:space="preserve">Drop-down list values (edit to suit)</t>
  </si>
  <si>
    <t xml:space="preserve">Rating</t>
  </si>
  <si>
    <t xml:space="preserve">Likelihood</t>
  </si>
  <si>
    <t xml:space="preserve">Description (example)</t>
  </si>
  <si>
    <t xml:space="preserve">Categories</t>
  </si>
  <si>
    <t xml:space="preserve">Control type</t>
  </si>
  <si>
    <t xml:space="preserve">Treatment</t>
  </si>
  <si>
    <t xml:space="preserve">Status</t>
  </si>
  <si>
    <t xml:space="preserve">Rare</t>
  </si>
  <si>
    <t xml:space="preserve">May occur only in exceptional circumstances (e.g. less than once in 20 years)</t>
  </si>
  <si>
    <t xml:space="preserve">Strategic</t>
  </si>
  <si>
    <t xml:space="preserve">Preventive</t>
  </si>
  <si>
    <t xml:space="preserve">Accept</t>
  </si>
  <si>
    <t xml:space="preserve">Open</t>
  </si>
  <si>
    <t xml:space="preserve">Unlikely</t>
  </si>
  <si>
    <t xml:space="preserve">Could occur at some time (e.g. once in 5–20 years)</t>
  </si>
  <si>
    <t xml:space="preserve">Operational</t>
  </si>
  <si>
    <t xml:space="preserve">Detective</t>
  </si>
  <si>
    <t xml:space="preserve">Reduce</t>
  </si>
  <si>
    <t xml:space="preserve">In progress</t>
  </si>
  <si>
    <t xml:space="preserve">Possible</t>
  </si>
  <si>
    <t xml:space="preserve">Might occur (e.g. once in 1–5 years)</t>
  </si>
  <si>
    <t xml:space="preserve">Compliance</t>
  </si>
  <si>
    <t xml:space="preserve">Corrective</t>
  </si>
  <si>
    <t xml:space="preserve">Share or transfer</t>
  </si>
  <si>
    <t xml:space="preserve">Complete</t>
  </si>
  <si>
    <t xml:space="preserve">Likely</t>
  </si>
  <si>
    <t xml:space="preserve">Will probably occur (e.g. about once a year)</t>
  </si>
  <si>
    <t xml:space="preserve">Conduct</t>
  </si>
  <si>
    <t xml:space="preserve">Directive</t>
  </si>
  <si>
    <t xml:space="preserve">Avoid</t>
  </si>
  <si>
    <t xml:space="preserve">Overdue</t>
  </si>
  <si>
    <t xml:space="preserve">Almost certain</t>
  </si>
  <si>
    <t xml:space="preserve">Expected to occur (e.g. several times a year)</t>
  </si>
  <si>
    <t xml:space="preserve">Technology and cyber</t>
  </si>
  <si>
    <t xml:space="preserve">Closed</t>
  </si>
  <si>
    <t xml:space="preserve">Third party</t>
  </si>
  <si>
    <t xml:space="preserve">Consequence</t>
  </si>
  <si>
    <t xml:space="preserve">Members / customers</t>
  </si>
  <si>
    <t xml:space="preserve">Financial (example)</t>
  </si>
  <si>
    <t xml:space="preserve">Regulatory</t>
  </si>
  <si>
    <t xml:space="preserve">Operations</t>
  </si>
  <si>
    <t xml:space="preserve">People</t>
  </si>
  <si>
    <t xml:space="preserve">Insignificant</t>
  </si>
  <si>
    <t xml:space="preserve">Negligible impact</t>
  </si>
  <si>
    <t xml:space="preserve">Under $10k</t>
  </si>
  <si>
    <t xml:space="preserve">No breach, or minor breach not reportable</t>
  </si>
  <si>
    <t xml:space="preserve">No noticeable disruption</t>
  </si>
  <si>
    <t xml:space="preserve">Financial</t>
  </si>
  <si>
    <t xml:space="preserve">Minor</t>
  </si>
  <si>
    <t xml:space="preserve">Small number affected, quickly fixed</t>
  </si>
  <si>
    <t xml:space="preserve">$10k–$100k</t>
  </si>
  <si>
    <t xml:space="preserve">Minor breach; internal reporting only</t>
  </si>
  <si>
    <t xml:space="preserve">Brief disruption within tolerance</t>
  </si>
  <si>
    <t xml:space="preserve">Investment</t>
  </si>
  <si>
    <t xml:space="preserve">Moderate</t>
  </si>
  <si>
    <t xml:space="preserve">Noticeable harm to a group of members</t>
  </si>
  <si>
    <t xml:space="preserve">$100k–$1m</t>
  </si>
  <si>
    <t xml:space="preserve">Possible reportable breach</t>
  </si>
  <si>
    <t xml:space="preserve">Disruption close to tolerance</t>
  </si>
  <si>
    <t xml:space="preserve">Insurance</t>
  </si>
  <si>
    <t xml:space="preserve">Major</t>
  </si>
  <si>
    <t xml:space="preserve">Significant harm to many members</t>
  </si>
  <si>
    <t xml:space="preserve">$1m–$10m</t>
  </si>
  <si>
    <t xml:space="preserve">Reportable breach; regulator scrutiny</t>
  </si>
  <si>
    <t xml:space="preserve">Critical operation outside tolerance</t>
  </si>
  <si>
    <t xml:space="preserve">Reputational</t>
  </si>
  <si>
    <t xml:space="preserve">Severe</t>
  </si>
  <si>
    <t xml:space="preserve">Widespread or lasting harm</t>
  </si>
  <si>
    <t xml:space="preserve">Over $10m</t>
  </si>
  <si>
    <t xml:space="preserve">Enforcement action; licence at risk</t>
  </si>
  <si>
    <t xml:space="preserve">Prolonged failure of critical operations</t>
  </si>
  <si>
    <t xml:space="preserve">Other</t>
  </si>
  <si>
    <t xml:space="preserve">Minimum score</t>
  </si>
  <si>
    <t xml:space="preserve">Typical response (example)</t>
  </si>
  <si>
    <t xml:space="preserve">Low</t>
  </si>
  <si>
    <t xml:space="preserve">Manage through routine procedures; review periodically.</t>
  </si>
  <si>
    <t xml:space="preserve">Medium</t>
  </si>
  <si>
    <t xml:space="preserve">Management attention; confirm controls are effective and monitor.</t>
  </si>
  <si>
    <t xml:space="preserve">High</t>
  </si>
  <si>
    <t xml:space="preserve">Senior management attention; treatment plan with owner and due date.</t>
  </si>
  <si>
    <t xml:space="preserve">Extreme</t>
  </si>
  <si>
    <t xml:space="preserve">Immediate executive and board attention; act now to reduce the risk.</t>
  </si>
  <si>
    <t xml:space="preserve">Highest residual score within appetite</t>
  </si>
  <si>
    <t xml:space="preserve">Default 9 = top of the Medium band. Change to match your risk appetite statement.</t>
  </si>
  <si>
    <t xml:space="preserve">Control effectiveness</t>
  </si>
  <si>
    <t xml:space="preserve">Meaning (example)</t>
  </si>
  <si>
    <t xml:space="preserve">Effective</t>
  </si>
  <si>
    <t xml:space="preserve">Well designed and tested as operating reliably.</t>
  </si>
  <si>
    <t xml:space="preserve">Partially effective</t>
  </si>
  <si>
    <t xml:space="preserve">Some design or operating gaps; reduces the risk but not fully.</t>
  </si>
  <si>
    <t xml:space="preserve">Ineffective</t>
  </si>
  <si>
    <t xml:space="preserve">Not designed well or not operating; little reduction in risk.</t>
  </si>
  <si>
    <t xml:space="preserve">Not tested</t>
  </si>
  <si>
    <t xml:space="preserve">No recent evidence of effectiveness.</t>
  </si>
  <si>
    <t xml:space="preserve">Risk assessment</t>
  </si>
  <si>
    <t xml:space="preserve">Fill in the pale yellow cells. Scores, ratings and appetite checks calculate automatically.</t>
  </si>
  <si>
    <t xml:space="preserve">Risk ID</t>
  </si>
  <si>
    <t xml:space="preserve">Risk title</t>
  </si>
  <si>
    <t xml:space="preserve">Description (cause → event → consequence)</t>
  </si>
  <si>
    <t xml:space="preserve">Category</t>
  </si>
  <si>
    <t xml:space="preserve">Risk owner</t>
  </si>
  <si>
    <t xml:space="preserve">Inherent likelihood (1–5)</t>
  </si>
  <si>
    <t xml:space="preserve">Inherent consequence (1–5)</t>
  </si>
  <si>
    <t xml:space="preserve">Inherent score</t>
  </si>
  <si>
    <t xml:space="preserve">Inherent rating</t>
  </si>
  <si>
    <t xml:space="preserve">Key controls</t>
  </si>
  <si>
    <t xml:space="preserve">Residual likelihood (1–5)</t>
  </si>
  <si>
    <t xml:space="preserve">Residual consequence (1–5)</t>
  </si>
  <si>
    <t xml:space="preserve">Residual score</t>
  </si>
  <si>
    <t xml:space="preserve">Residual rating</t>
  </si>
  <si>
    <t xml:space="preserve">Within appetite?</t>
  </si>
  <si>
    <t xml:space="preserve">Treatment decision</t>
  </si>
  <si>
    <t xml:space="preserve">Treatment actions</t>
  </si>
  <si>
    <t xml:space="preserve">Action owner</t>
  </si>
  <si>
    <t xml:space="preserve">Due date</t>
  </si>
  <si>
    <t xml:space="preserve">Target likelihood (1–5)</t>
  </si>
  <si>
    <t xml:space="preserve">Target consequence (1–5)</t>
  </si>
  <si>
    <t xml:space="preserve">Target score</t>
  </si>
  <si>
    <t xml:space="preserve">Action status</t>
  </si>
  <si>
    <t xml:space="preserve">Last reviewed</t>
  </si>
  <si>
    <t xml:space="preserve">Notes / evidence</t>
  </si>
  <si>
    <t xml:space="preserve">R001</t>
  </si>
  <si>
    <t xml:space="preserve">Fee calculation error</t>
  </si>
  <si>
    <t xml:space="preserve">Cause: product or system changes not tested for fee impacts. Event: fees calculated incorrectly. Consequence: members overcharged, remediation cost, reportable breach.</t>
  </si>
  <si>
    <t xml:space="preserve">Head of Operations</t>
  </si>
  <si>
    <t xml:space="preserve">Change testing checklist includes fee scenarios; monthly independent fee reconciliation; administrator SLA reporting.</t>
  </si>
  <si>
    <t xml:space="preserve">Automate fee reconciliation; add fee sign-off to product change process.</t>
  </si>
  <si>
    <t xml:space="preserve">Product Manager</t>
  </si>
  <si>
    <t xml:space="preserve">Reconciliation tested Q2: 1 exception found.</t>
  </si>
  <si>
    <t xml:space="preserve">Heat maps</t>
  </si>
  <si>
    <t xml:space="preserve">Counts of risks in each cell. These update automatically from the Risk assessment tab.</t>
  </si>
  <si>
    <t xml:space="preserve">Residual risk (with current controls)</t>
  </si>
  <si>
    <t xml:space="preserve">5 Almost certain</t>
  </si>
  <si>
    <t xml:space="preserve">Summary</t>
  </si>
  <si>
    <t xml:space="preserve">4 Likely</t>
  </si>
  <si>
    <t xml:space="preserve">Risks recorded</t>
  </si>
  <si>
    <t xml:space="preserve">3 Possible</t>
  </si>
  <si>
    <t xml:space="preserve">Residual Extreme</t>
  </si>
  <si>
    <t xml:space="preserve">2 Unlikely</t>
  </si>
  <si>
    <t xml:space="preserve">Residual High</t>
  </si>
  <si>
    <t xml:space="preserve">1 Rare</t>
  </si>
  <si>
    <t xml:space="preserve">Residual Medium</t>
  </si>
  <si>
    <t xml:space="preserve">1 Insignificant</t>
  </si>
  <si>
    <t xml:space="preserve">2 Minor</t>
  </si>
  <si>
    <t xml:space="preserve">3 Moderate</t>
  </si>
  <si>
    <t xml:space="preserve">4 Major</t>
  </si>
  <si>
    <t xml:space="preserve">5 Severe</t>
  </si>
  <si>
    <t xml:space="preserve">Residual Low</t>
  </si>
  <si>
    <t xml:space="preserve">Likelihood (rows) × consequence (columns). Blank cells have no risks.</t>
  </si>
  <si>
    <t xml:space="preserve">Outside appetite</t>
  </si>
  <si>
    <t xml:space="preserve">Inherent risk (before controls)</t>
  </si>
</sst>
</file>

<file path=xl/styles.xml><?xml version="1.0" encoding="utf-8"?>
<styleSheet xmlns="http://schemas.openxmlformats.org/spreadsheetml/2006/main">
  <numFmts count="4">
    <numFmt numFmtId="164" formatCode="General"/>
    <numFmt numFmtId="165" formatCode="General"/>
    <numFmt numFmtId="166" formatCode="dd/mm/yyyy"/>
    <numFmt numFmtId="167" formatCode="0;\-0;&quot;&quot;"/>
  </numFmts>
  <fonts count="13">
    <font>
      <sz val="11"/>
      <color theme="1"/>
      <name val="Calibri"/>
      <family val="2"/>
      <charset val="1"/>
    </font>
    <font>
      <sz val="10"/>
      <name val="Arial"/>
      <family val="0"/>
    </font>
    <font>
      <sz val="10"/>
      <name val="Arial"/>
      <family val="0"/>
    </font>
    <font>
      <sz val="10"/>
      <name val="Arial"/>
      <family val="0"/>
    </font>
    <font>
      <b val="true"/>
      <sz val="16"/>
      <color rgb="FF0F2942"/>
      <name val="Arial"/>
      <family val="0"/>
      <charset val="1"/>
    </font>
    <font>
      <i val="true"/>
      <sz val="10"/>
      <color rgb="FF4A5568"/>
      <name val="Arial"/>
      <family val="0"/>
      <charset val="1"/>
    </font>
    <font>
      <b val="true"/>
      <sz val="11"/>
      <color rgb="FF0F2942"/>
      <name val="Arial"/>
      <family val="0"/>
      <charset val="1"/>
    </font>
    <font>
      <sz val="10"/>
      <color rgb="FF000000"/>
      <name val="Arial"/>
      <family val="0"/>
      <charset val="1"/>
    </font>
    <font>
      <i val="true"/>
      <sz val="9"/>
      <color rgb="FF4A5568"/>
      <name val="Arial"/>
      <family val="0"/>
      <charset val="1"/>
    </font>
    <font>
      <b val="true"/>
      <sz val="10"/>
      <color rgb="FFFFFFFF"/>
      <name val="Arial"/>
      <family val="0"/>
      <charset val="1"/>
    </font>
    <font>
      <b val="true"/>
      <sz val="10"/>
      <color rgb="FF000000"/>
      <name val="Arial"/>
      <family val="0"/>
      <charset val="1"/>
    </font>
    <font>
      <b val="true"/>
      <sz val="12"/>
      <color rgb="FF0F2942"/>
      <name val="Arial"/>
      <family val="0"/>
      <charset val="1"/>
    </font>
    <font>
      <b val="true"/>
      <sz val="12"/>
      <color rgb="FF000000"/>
      <name val="Arial"/>
      <family val="0"/>
      <charset val="1"/>
    </font>
  </fonts>
  <fills count="10">
    <fill>
      <patternFill patternType="none"/>
    </fill>
    <fill>
      <patternFill patternType="gray125"/>
    </fill>
    <fill>
      <patternFill patternType="solid">
        <fgColor rgb="FFFFF7D6"/>
        <bgColor rgb="FFEEF2F7"/>
      </patternFill>
    </fill>
    <fill>
      <patternFill patternType="solid">
        <fgColor rgb="FFEEF2F7"/>
        <bgColor rgb="FFE7F6EC"/>
      </patternFill>
    </fill>
    <fill>
      <patternFill patternType="solid">
        <fgColor rgb="FFE7F6EC"/>
        <bgColor rgb="FFEEF2F7"/>
      </patternFill>
    </fill>
    <fill>
      <patternFill patternType="solid">
        <fgColor rgb="FF0F2942"/>
        <bgColor rgb="FF333333"/>
      </patternFill>
    </fill>
    <fill>
      <patternFill patternType="solid">
        <fgColor rgb="FFBFE5CB"/>
        <bgColor rgb="FFC9D3E0"/>
      </patternFill>
    </fill>
    <fill>
      <patternFill patternType="solid">
        <fgColor rgb="FFFDE68A"/>
        <bgColor rgb="FFFFF7D6"/>
      </patternFill>
    </fill>
    <fill>
      <patternFill patternType="solid">
        <fgColor rgb="FFFDBA74"/>
        <bgColor rgb="FFFCA5A5"/>
      </patternFill>
    </fill>
    <fill>
      <patternFill patternType="solid">
        <fgColor rgb="FFFCA5A5"/>
        <bgColor rgb="FFFDBA74"/>
      </patternFill>
    </fill>
  </fills>
  <borders count="2">
    <border diagonalUp="false" diagonalDown="false">
      <left/>
      <right/>
      <top/>
      <bottom/>
      <diagonal/>
    </border>
    <border diagonalUp="false" diagonalDown="false">
      <left style="thin">
        <color rgb="FFC9D3E0"/>
      </left>
      <right style="thin">
        <color rgb="FFC9D3E0"/>
      </right>
      <top style="thin">
        <color rgb="FFC9D3E0"/>
      </top>
      <bottom style="thin">
        <color rgb="FFC9D3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center" vertical="top" textRotation="0" wrapText="false" indent="0" shrinkToFit="false"/>
      <protection locked="true" hidden="false"/>
    </xf>
    <xf numFmtId="166" fontId="7" fillId="4" borderId="1" xfId="0" applyFont="true" applyBorder="true" applyAlignment="true" applyProtection="false">
      <alignment horizontal="general" vertical="top" textRotation="0" wrapText="true" indent="0" shrinkToFit="false"/>
      <protection locked="true" hidden="false"/>
    </xf>
    <xf numFmtId="166" fontId="7" fillId="2"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right" vertical="center" textRotation="0" wrapText="false" indent="0" shrinkToFit="false"/>
      <protection locked="true" hidden="false"/>
    </xf>
    <xf numFmtId="167" fontId="12" fillId="7" borderId="1" xfId="0" applyFont="true" applyBorder="true" applyAlignment="true" applyProtection="false">
      <alignment horizontal="center" vertical="center" textRotation="0" wrapText="false" indent="0" shrinkToFit="false"/>
      <protection locked="true" hidden="false"/>
    </xf>
    <xf numFmtId="167" fontId="12" fillId="8" borderId="1" xfId="0" applyFont="true" applyBorder="true" applyAlignment="true" applyProtection="false">
      <alignment horizontal="center" vertical="center" textRotation="0" wrapText="false" indent="0" shrinkToFit="false"/>
      <protection locked="true" hidden="false"/>
    </xf>
    <xf numFmtId="167" fontId="12" fillId="9" borderId="1" xfId="0" applyFont="true" applyBorder="true" applyAlignment="true" applyProtection="false">
      <alignment horizontal="center" vertical="center" textRotation="0" wrapText="false" indent="0" shrinkToFit="false"/>
      <protection locked="true" hidden="false"/>
    </xf>
    <xf numFmtId="167" fontId="12" fillId="6" borderId="1" xfId="0" applyFont="true" applyBorder="true" applyAlignment="true" applyProtection="false">
      <alignment horizontal="center" vertical="center" textRotation="0" wrapText="false" indent="0" shrinkToFit="false"/>
      <protection locked="true" hidden="false"/>
    </xf>
    <xf numFmtId="165" fontId="7" fillId="3" borderId="1" xfId="0" applyFont="true" applyBorder="true" applyAlignment="true" applyProtection="false">
      <alignment horizontal="center" vertical="top" textRotation="0" wrapText="true" indent="0" shrinkToFit="false"/>
      <protection locked="true" hidden="false"/>
    </xf>
    <xf numFmtId="164" fontId="10" fillId="0" borderId="0" xfId="0" applyFont="true" applyBorder="fals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0F2942"/>
          <bgColor rgb="FF000000"/>
        </patternFill>
      </fill>
    </dxf>
    <dxf>
      <fill>
        <patternFill patternType="solid">
          <fgColor rgb="FFE7F6EC"/>
          <bgColor rgb="FF000000"/>
        </patternFill>
      </fill>
    </dxf>
    <dxf>
      <fill>
        <patternFill patternType="solid">
          <fgColor rgb="FFFFF7D6"/>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EF2F7"/>
          <bgColor rgb="FF000000"/>
        </patternFill>
      </fill>
    </dxf>
    <dxf>
      <fill>
        <patternFill patternType="solid">
          <fgColor rgb="FFFDBA74"/>
          <bgColor rgb="FF000000"/>
        </patternFill>
      </fill>
    </dxf>
    <dxf>
      <fill>
        <patternFill patternType="solid">
          <fgColor rgb="FFFDE68A"/>
          <bgColor rgb="FF000000"/>
        </patternFill>
      </fill>
    </dxf>
    <dxf>
      <fill>
        <patternFill>
          <bgColor rgb="FFBFE5CB"/>
        </patternFill>
      </fill>
    </dxf>
    <dxf>
      <fill>
        <patternFill>
          <bgColor rgb="FFFDE68A"/>
        </patternFill>
      </fill>
    </dxf>
    <dxf>
      <fill>
        <patternFill>
          <bgColor rgb="FFFDBA74"/>
        </patternFill>
      </fill>
    </dxf>
    <dxf>
      <fill>
        <patternFill>
          <bgColor rgb="FFFCA5A5"/>
        </patternFill>
      </fill>
    </dxf>
    <dxf>
      <font>
        <name val="Arial"/>
        <charset val="1"/>
        <family val="0"/>
        <b val="1"/>
        <color rgb="FF000000"/>
        <sz val="10"/>
      </font>
      <fill>
        <patternFill>
          <bgColor rgb="FFFCA5A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D6"/>
      <rgbColor rgb="FFE7F6EC"/>
      <rgbColor rgb="FF660066"/>
      <rgbColor rgb="FFFF8080"/>
      <rgbColor rgb="FF0066CC"/>
      <rgbColor rgb="FFC9D3E0"/>
      <rgbColor rgb="FF000080"/>
      <rgbColor rgb="FFFF00FF"/>
      <rgbColor rgb="FFFFFF00"/>
      <rgbColor rgb="FF00FFFF"/>
      <rgbColor rgb="FF800080"/>
      <rgbColor rgb="FF800000"/>
      <rgbColor rgb="FF008080"/>
      <rgbColor rgb="FF0000FF"/>
      <rgbColor rgb="FF00CCFF"/>
      <rgbColor rgb="FFEEF2F7"/>
      <rgbColor rgb="FFBFE5CB"/>
      <rgbColor rgb="FFFDE68A"/>
      <rgbColor rgb="FF99CCFF"/>
      <rgbColor rgb="FFFCA5A5"/>
      <rgbColor rgb="FFCC99FF"/>
      <rgbColor rgb="FFFDBA74"/>
      <rgbColor rgb="FF3366FF"/>
      <rgbColor rgb="FF33CCCC"/>
      <rgbColor rgb="FF99CC00"/>
      <rgbColor rgb="FFFFCC00"/>
      <rgbColor rgb="FFFF9900"/>
      <rgbColor rgb="FFFF6600"/>
      <rgbColor rgb="FF4A5568"/>
      <rgbColor rgb="FF969696"/>
      <rgbColor rgb="FF0F2942"/>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00"/>
  </cols>
  <sheetData>
    <row r="1" customFormat="false" ht="25.5" hidden="false" customHeight="true" outlineLevel="0" collapsed="false">
      <c r="A1" s="1" t="s">
        <v>0</v>
      </c>
    </row>
    <row r="2" customFormat="false" ht="15" hidden="false" customHeight="false" outlineLevel="0" collapsed="false">
      <c r="A2" s="2" t="s">
        <v>1</v>
      </c>
    </row>
    <row r="4" customFormat="false" ht="45" hidden="false" customHeight="true" outlineLevel="0" collapsed="false">
      <c r="A4" s="3" t="s">
        <v>2</v>
      </c>
      <c r="B4" s="4" t="s">
        <v>3</v>
      </c>
    </row>
    <row r="5" customFormat="false" ht="135" hidden="false" customHeight="true" outlineLevel="0" collapsed="false">
      <c r="A5" s="3" t="s">
        <v>4</v>
      </c>
      <c r="B5" s="4" t="s">
        <v>5</v>
      </c>
    </row>
    <row r="6" customFormat="false" ht="60" hidden="false" customHeight="true" outlineLevel="0" collapsed="false">
      <c r="A6" s="3" t="s">
        <v>6</v>
      </c>
      <c r="B6" s="4" t="s">
        <v>7</v>
      </c>
    </row>
    <row r="7" customFormat="false" ht="30" hidden="false" customHeight="true" outlineLevel="0" collapsed="false">
      <c r="A7" s="3" t="s">
        <v>8</v>
      </c>
      <c r="B7" s="4" t="s">
        <v>9</v>
      </c>
    </row>
    <row r="8" customFormat="false" ht="45" hidden="false" customHeight="true" outlineLevel="0" collapsed="false">
      <c r="A8" s="3" t="s">
        <v>10</v>
      </c>
      <c r="B8" s="4" t="s">
        <v>11</v>
      </c>
    </row>
    <row r="9" customFormat="false" ht="45" hidden="false" customHeight="true" outlineLevel="0" collapsed="false">
      <c r="A9" s="3" t="s">
        <v>12</v>
      </c>
      <c r="B9" s="4" t="s">
        <v>13</v>
      </c>
    </row>
    <row r="11" customFormat="false" ht="15" hidden="false" customHeight="false" outlineLevel="0" collapsed="false">
      <c r="A11" s="5" t="s">
        <v>14</v>
      </c>
    </row>
    <row r="12" customFormat="false" ht="15" hidden="false" customHeight="false" outlineLevel="0" collapsed="false">
      <c r="A12" s="6" t="s">
        <v>15</v>
      </c>
    </row>
    <row r="13" customFormat="false" ht="15" hidden="false" customHeight="false" outlineLevel="0" collapsed="false">
      <c r="A13" s="7" t="s">
        <v>16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44"/>
    <col collapsed="false" customWidth="true" hidden="false" outlineLevel="0" max="4" min="4" style="0" width="22"/>
    <col collapsed="false" customWidth="true" hidden="false" outlineLevel="0" max="5" min="5" style="0" width="32"/>
    <col collapsed="false" customWidth="true" hidden="false" outlineLevel="0" max="6" min="6" style="0" width="30"/>
    <col collapsed="false" customWidth="true" hidden="false" outlineLevel="0" max="11" min="8" style="0" width="20"/>
  </cols>
  <sheetData>
    <row r="1" customFormat="false" ht="25.5" hidden="false" customHeight="true" outlineLevel="0" collapsed="false">
      <c r="A1" s="1" t="s">
        <v>17</v>
      </c>
    </row>
    <row r="2" customFormat="false" ht="15" hidden="false" customHeight="false" outlineLevel="0" collapsed="false">
      <c r="A2" s="2" t="s">
        <v>18</v>
      </c>
      <c r="H2" s="8" t="s">
        <v>19</v>
      </c>
    </row>
    <row r="4" customFormat="false" ht="31.5" hidden="false" customHeight="true" outlineLevel="0" collapsed="false">
      <c r="A4" s="9" t="s">
        <v>20</v>
      </c>
      <c r="B4" s="9" t="s">
        <v>21</v>
      </c>
      <c r="C4" s="9" t="s">
        <v>22</v>
      </c>
      <c r="H4" s="10" t="s">
        <v>23</v>
      </c>
      <c r="I4" s="10" t="s">
        <v>24</v>
      </c>
      <c r="J4" s="10" t="s">
        <v>25</v>
      </c>
      <c r="K4" s="10" t="s">
        <v>26</v>
      </c>
    </row>
    <row r="5" customFormat="false" ht="23.85" hidden="false" customHeight="false" outlineLevel="0" collapsed="false">
      <c r="A5" s="11" t="n">
        <v>1</v>
      </c>
      <c r="B5" s="5" t="s">
        <v>27</v>
      </c>
      <c r="C5" s="5" t="s">
        <v>28</v>
      </c>
      <c r="H5" s="12" t="s">
        <v>29</v>
      </c>
      <c r="I5" s="12" t="s">
        <v>30</v>
      </c>
      <c r="J5" s="12" t="s">
        <v>31</v>
      </c>
      <c r="K5" s="12" t="s">
        <v>32</v>
      </c>
    </row>
    <row r="6" customFormat="false" ht="15" hidden="false" customHeight="false" outlineLevel="0" collapsed="false">
      <c r="A6" s="11" t="n">
        <v>2</v>
      </c>
      <c r="B6" s="5" t="s">
        <v>33</v>
      </c>
      <c r="C6" s="5" t="s">
        <v>34</v>
      </c>
      <c r="H6" s="12" t="s">
        <v>35</v>
      </c>
      <c r="I6" s="12" t="s">
        <v>36</v>
      </c>
      <c r="J6" s="12" t="s">
        <v>37</v>
      </c>
      <c r="K6" s="12" t="s">
        <v>38</v>
      </c>
    </row>
    <row r="7" customFormat="false" ht="15" hidden="false" customHeight="false" outlineLevel="0" collapsed="false">
      <c r="A7" s="11" t="n">
        <v>3</v>
      </c>
      <c r="B7" s="5" t="s">
        <v>39</v>
      </c>
      <c r="C7" s="5" t="s">
        <v>40</v>
      </c>
      <c r="H7" s="12" t="s">
        <v>41</v>
      </c>
      <c r="I7" s="12" t="s">
        <v>42</v>
      </c>
      <c r="J7" s="12" t="s">
        <v>43</v>
      </c>
      <c r="K7" s="12" t="s">
        <v>44</v>
      </c>
    </row>
    <row r="8" customFormat="false" ht="15" hidden="false" customHeight="false" outlineLevel="0" collapsed="false">
      <c r="A8" s="11" t="n">
        <v>4</v>
      </c>
      <c r="B8" s="5" t="s">
        <v>45</v>
      </c>
      <c r="C8" s="5" t="s">
        <v>46</v>
      </c>
      <c r="H8" s="12" t="s">
        <v>47</v>
      </c>
      <c r="I8" s="12" t="s">
        <v>48</v>
      </c>
      <c r="J8" s="12" t="s">
        <v>49</v>
      </c>
      <c r="K8" s="12" t="s">
        <v>50</v>
      </c>
    </row>
    <row r="9" customFormat="false" ht="15" hidden="false" customHeight="false" outlineLevel="0" collapsed="false">
      <c r="A9" s="11" t="n">
        <v>5</v>
      </c>
      <c r="B9" s="5" t="s">
        <v>51</v>
      </c>
      <c r="C9" s="5" t="s">
        <v>52</v>
      </c>
      <c r="H9" s="12" t="s">
        <v>53</v>
      </c>
      <c r="K9" s="12" t="s">
        <v>54</v>
      </c>
    </row>
    <row r="10" customFormat="false" ht="15" hidden="false" customHeight="false" outlineLevel="0" collapsed="false">
      <c r="H10" s="12" t="s">
        <v>55</v>
      </c>
    </row>
    <row r="11" customFormat="false" ht="31.5" hidden="false" customHeight="true" outlineLevel="0" collapsed="false">
      <c r="A11" s="9" t="s">
        <v>20</v>
      </c>
      <c r="B11" s="9" t="s">
        <v>56</v>
      </c>
      <c r="C11" s="9" t="s">
        <v>57</v>
      </c>
      <c r="D11" s="9" t="s">
        <v>58</v>
      </c>
      <c r="E11" s="9" t="s">
        <v>59</v>
      </c>
      <c r="F11" s="9" t="s">
        <v>60</v>
      </c>
      <c r="H11" s="12" t="s">
        <v>61</v>
      </c>
    </row>
    <row r="12" customFormat="false" ht="15" hidden="false" customHeight="false" outlineLevel="0" collapsed="false">
      <c r="A12" s="11" t="n">
        <v>1</v>
      </c>
      <c r="B12" s="5" t="s">
        <v>62</v>
      </c>
      <c r="C12" s="5" t="s">
        <v>63</v>
      </c>
      <c r="D12" s="5" t="s">
        <v>64</v>
      </c>
      <c r="E12" s="5" t="s">
        <v>65</v>
      </c>
      <c r="F12" s="5" t="s">
        <v>66</v>
      </c>
      <c r="H12" s="12" t="s">
        <v>67</v>
      </c>
    </row>
    <row r="13" customFormat="false" ht="15" hidden="false" customHeight="false" outlineLevel="0" collapsed="false">
      <c r="A13" s="11" t="n">
        <v>2</v>
      </c>
      <c r="B13" s="5" t="s">
        <v>68</v>
      </c>
      <c r="C13" s="5" t="s">
        <v>69</v>
      </c>
      <c r="D13" s="5" t="s">
        <v>70</v>
      </c>
      <c r="E13" s="5" t="s">
        <v>71</v>
      </c>
      <c r="F13" s="5" t="s">
        <v>72</v>
      </c>
      <c r="H13" s="12" t="s">
        <v>73</v>
      </c>
    </row>
    <row r="14" customFormat="false" ht="15" hidden="false" customHeight="false" outlineLevel="0" collapsed="false">
      <c r="A14" s="11" t="n">
        <v>3</v>
      </c>
      <c r="B14" s="5" t="s">
        <v>74</v>
      </c>
      <c r="C14" s="5" t="s">
        <v>75</v>
      </c>
      <c r="D14" s="5" t="s">
        <v>76</v>
      </c>
      <c r="E14" s="5" t="s">
        <v>77</v>
      </c>
      <c r="F14" s="5" t="s">
        <v>78</v>
      </c>
      <c r="H14" s="12" t="s">
        <v>79</v>
      </c>
    </row>
    <row r="15" customFormat="false" ht="15" hidden="false" customHeight="false" outlineLevel="0" collapsed="false">
      <c r="A15" s="11" t="n">
        <v>4</v>
      </c>
      <c r="B15" s="5" t="s">
        <v>80</v>
      </c>
      <c r="C15" s="5" t="s">
        <v>81</v>
      </c>
      <c r="D15" s="5" t="s">
        <v>82</v>
      </c>
      <c r="E15" s="5" t="s">
        <v>83</v>
      </c>
      <c r="F15" s="5" t="s">
        <v>84</v>
      </c>
      <c r="H15" s="12" t="s">
        <v>85</v>
      </c>
    </row>
    <row r="16" customFormat="false" ht="15" hidden="false" customHeight="false" outlineLevel="0" collapsed="false">
      <c r="A16" s="11" t="n">
        <v>5</v>
      </c>
      <c r="B16" s="5" t="s">
        <v>86</v>
      </c>
      <c r="C16" s="5" t="s">
        <v>87</v>
      </c>
      <c r="D16" s="5" t="s">
        <v>88</v>
      </c>
      <c r="E16" s="5" t="s">
        <v>89</v>
      </c>
      <c r="F16" s="5" t="s">
        <v>90</v>
      </c>
      <c r="H16" s="12" t="s">
        <v>91</v>
      </c>
    </row>
    <row r="18" customFormat="false" ht="31.5" hidden="false" customHeight="true" outlineLevel="0" collapsed="false">
      <c r="A18" s="9" t="s">
        <v>92</v>
      </c>
      <c r="B18" s="9" t="s">
        <v>20</v>
      </c>
      <c r="C18" s="9" t="s">
        <v>93</v>
      </c>
    </row>
    <row r="19" customFormat="false" ht="15" hidden="false" customHeight="false" outlineLevel="0" collapsed="false">
      <c r="A19" s="11" t="n">
        <v>1</v>
      </c>
      <c r="B19" s="13" t="s">
        <v>94</v>
      </c>
      <c r="C19" s="5" t="s">
        <v>95</v>
      </c>
    </row>
    <row r="20" customFormat="false" ht="15" hidden="false" customHeight="false" outlineLevel="0" collapsed="false">
      <c r="A20" s="11" t="n">
        <v>5</v>
      </c>
      <c r="B20" s="14" t="s">
        <v>96</v>
      </c>
      <c r="C20" s="5" t="s">
        <v>97</v>
      </c>
    </row>
    <row r="21" customFormat="false" ht="23.85" hidden="false" customHeight="false" outlineLevel="0" collapsed="false">
      <c r="A21" s="11" t="n">
        <v>10</v>
      </c>
      <c r="B21" s="15" t="s">
        <v>98</v>
      </c>
      <c r="C21" s="5" t="s">
        <v>99</v>
      </c>
    </row>
    <row r="22" customFormat="false" ht="15" hidden="false" customHeight="false" outlineLevel="0" collapsed="false">
      <c r="A22" s="11" t="n">
        <v>15</v>
      </c>
      <c r="B22" s="16" t="s">
        <v>100</v>
      </c>
      <c r="C22" s="5" t="s">
        <v>101</v>
      </c>
    </row>
    <row r="24" customFormat="false" ht="15" hidden="false" customHeight="false" outlineLevel="0" collapsed="false">
      <c r="A24" s="10" t="s">
        <v>102</v>
      </c>
      <c r="C24" s="17" t="n">
        <v>9</v>
      </c>
      <c r="D24" s="8" t="s">
        <v>103</v>
      </c>
    </row>
    <row r="26" customFormat="false" ht="31.5" hidden="false" customHeight="true" outlineLevel="0" collapsed="false">
      <c r="A26" s="9" t="s">
        <v>104</v>
      </c>
      <c r="B26" s="9" t="s">
        <v>105</v>
      </c>
    </row>
    <row r="27" customFormat="false" ht="23.85" hidden="false" customHeight="false" outlineLevel="0" collapsed="false">
      <c r="A27" s="18" t="s">
        <v>106</v>
      </c>
      <c r="B27" s="5" t="s">
        <v>107</v>
      </c>
    </row>
    <row r="28" customFormat="false" ht="35.05" hidden="false" customHeight="false" outlineLevel="0" collapsed="false">
      <c r="A28" s="18" t="s">
        <v>108</v>
      </c>
      <c r="B28" s="5" t="s">
        <v>109</v>
      </c>
    </row>
    <row r="29" customFormat="false" ht="35.05" hidden="false" customHeight="false" outlineLevel="0" collapsed="false">
      <c r="A29" s="18" t="s">
        <v>110</v>
      </c>
      <c r="B29" s="5" t="s">
        <v>111</v>
      </c>
    </row>
    <row r="30" customFormat="false" ht="23.85" hidden="false" customHeight="false" outlineLevel="0" collapsed="false">
      <c r="A30" s="18" t="s">
        <v>112</v>
      </c>
      <c r="B30" s="5" t="s">
        <v>113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42"/>
    <col collapsed="false" customWidth="true" hidden="false" outlineLevel="0" max="5" min="4" style="0" width="16"/>
    <col collapsed="false" customWidth="true" hidden="false" outlineLevel="0" max="6" min="6" style="0" width="11"/>
    <col collapsed="false" customWidth="true" hidden="false" outlineLevel="0" max="7" min="7" style="0" width="12"/>
    <col collapsed="false" customWidth="true" hidden="false" outlineLevel="0" max="8" min="8" style="0" width="9"/>
    <col collapsed="false" customWidth="true" hidden="false" outlineLevel="0" max="9" min="9" style="0" width="11"/>
    <col collapsed="false" customWidth="true" hidden="false" outlineLevel="0" max="10" min="10" style="0" width="36"/>
    <col collapsed="false" customWidth="true" hidden="false" outlineLevel="0" max="11" min="11" style="0" width="13"/>
    <col collapsed="false" customWidth="true" hidden="false" outlineLevel="0" max="12" min="12" style="0" width="15"/>
    <col collapsed="false" customWidth="true" hidden="false" outlineLevel="0" max="13" min="13" style="0" width="11"/>
    <col collapsed="false" customWidth="true" hidden="false" outlineLevel="0" max="14" min="14" style="0" width="12"/>
    <col collapsed="false" customWidth="true" hidden="false" outlineLevel="0" max="15" min="15" style="0" width="9"/>
    <col collapsed="false" customWidth="true" hidden="false" outlineLevel="0" max="16" min="16" style="0" width="11"/>
    <col collapsed="false" customWidth="true" hidden="false" outlineLevel="0" max="17" min="17" style="0" width="12"/>
    <col collapsed="false" customWidth="true" hidden="false" outlineLevel="0" max="18" min="18" style="0" width="14"/>
    <col collapsed="false" customWidth="true" hidden="false" outlineLevel="0" max="19" min="19" style="0" width="36"/>
    <col collapsed="false" customWidth="true" hidden="false" outlineLevel="0" max="20" min="20" style="0" width="16"/>
    <col collapsed="false" customWidth="true" hidden="false" outlineLevel="0" max="21" min="21" style="0" width="12"/>
    <col collapsed="false" customWidth="true" hidden="false" outlineLevel="0" max="22" min="22" style="0" width="11"/>
    <col collapsed="false" customWidth="true" hidden="false" outlineLevel="0" max="23" min="23" style="0" width="12"/>
    <col collapsed="false" customWidth="true" hidden="false" outlineLevel="0" max="24" min="24" style="0" width="9"/>
    <col collapsed="false" customWidth="true" hidden="false" outlineLevel="0" max="25" min="25" style="0" width="13"/>
    <col collapsed="false" customWidth="true" hidden="false" outlineLevel="0" max="26" min="26" style="0" width="12"/>
    <col collapsed="false" customWidth="true" hidden="false" outlineLevel="0" max="27" min="27" style="0" width="30"/>
  </cols>
  <sheetData>
    <row r="1" customFormat="false" ht="25.5" hidden="false" customHeight="true" outlineLevel="0" collapsed="false">
      <c r="A1" s="1" t="s">
        <v>114</v>
      </c>
    </row>
    <row r="2" customFormat="false" ht="15" hidden="false" customHeight="false" outlineLevel="0" collapsed="false">
      <c r="A2" s="2" t="s">
        <v>115</v>
      </c>
    </row>
    <row r="4" customFormat="false" ht="45.75" hidden="false" customHeight="true" outlineLevel="0" collapsed="false">
      <c r="A4" s="9" t="s">
        <v>116</v>
      </c>
      <c r="B4" s="9" t="s">
        <v>117</v>
      </c>
      <c r="C4" s="9" t="s">
        <v>118</v>
      </c>
      <c r="D4" s="9" t="s">
        <v>119</v>
      </c>
      <c r="E4" s="9" t="s">
        <v>120</v>
      </c>
      <c r="F4" s="9" t="s">
        <v>121</v>
      </c>
      <c r="G4" s="9" t="s">
        <v>122</v>
      </c>
      <c r="H4" s="9" t="s">
        <v>123</v>
      </c>
      <c r="I4" s="9" t="s">
        <v>124</v>
      </c>
      <c r="J4" s="9" t="s">
        <v>125</v>
      </c>
      <c r="K4" s="9" t="s">
        <v>24</v>
      </c>
      <c r="L4" s="9" t="s">
        <v>104</v>
      </c>
      <c r="M4" s="9" t="s">
        <v>126</v>
      </c>
      <c r="N4" s="9" t="s">
        <v>127</v>
      </c>
      <c r="O4" s="9" t="s">
        <v>128</v>
      </c>
      <c r="P4" s="9" t="s">
        <v>129</v>
      </c>
      <c r="Q4" s="9" t="s">
        <v>130</v>
      </c>
      <c r="R4" s="9" t="s">
        <v>131</v>
      </c>
      <c r="S4" s="9" t="s">
        <v>132</v>
      </c>
      <c r="T4" s="9" t="s">
        <v>133</v>
      </c>
      <c r="U4" s="9" t="s">
        <v>134</v>
      </c>
      <c r="V4" s="9" t="s">
        <v>135</v>
      </c>
      <c r="W4" s="9" t="s">
        <v>136</v>
      </c>
      <c r="X4" s="9" t="s">
        <v>137</v>
      </c>
      <c r="Y4" s="9" t="s">
        <v>138</v>
      </c>
      <c r="Z4" s="9" t="s">
        <v>139</v>
      </c>
      <c r="AA4" s="9" t="s">
        <v>140</v>
      </c>
    </row>
    <row r="5" customFormat="false" ht="75" hidden="false" customHeight="true" outlineLevel="0" collapsed="false">
      <c r="A5" s="7" t="s">
        <v>141</v>
      </c>
      <c r="B5" s="7" t="s">
        <v>142</v>
      </c>
      <c r="C5" s="7" t="s">
        <v>143</v>
      </c>
      <c r="D5" s="7" t="s">
        <v>35</v>
      </c>
      <c r="E5" s="7" t="s">
        <v>144</v>
      </c>
      <c r="F5" s="7" t="n">
        <v>4</v>
      </c>
      <c r="G5" s="7" t="n">
        <v>3</v>
      </c>
      <c r="H5" s="19" t="n">
        <f aca="false">IF(AND(ISNUMBER(F5),ISNUMBER(G5)),F5*G5,"")</f>
        <v>12</v>
      </c>
      <c r="I5" s="6" t="str">
        <f aca="false">IF(H5="","",LOOKUP(H5,Scales!$A$19:$A$22,Scales!$B$19:$B$22))</f>
        <v>High</v>
      </c>
      <c r="J5" s="7" t="s">
        <v>145</v>
      </c>
      <c r="K5" s="7" t="s">
        <v>36</v>
      </c>
      <c r="L5" s="7" t="s">
        <v>108</v>
      </c>
      <c r="M5" s="7" t="n">
        <v>2</v>
      </c>
      <c r="N5" s="7" t="n">
        <v>3</v>
      </c>
      <c r="O5" s="19" t="n">
        <f aca="false">IF(AND(ISNUMBER(M5),ISNUMBER(N5)),M5*N5,"")</f>
        <v>6</v>
      </c>
      <c r="P5" s="6" t="str">
        <f aca="false">IF(O5="","",LOOKUP(O5,Scales!$A$19:$A$22,Scales!$B$19:$B$22))</f>
        <v>Medium</v>
      </c>
      <c r="Q5" s="6" t="str">
        <f aca="false">IF(O5="","",IF(O5&lt;=Scales!$C$24,"Within","Outside"))</f>
        <v>Within</v>
      </c>
      <c r="R5" s="7" t="s">
        <v>37</v>
      </c>
      <c r="S5" s="7" t="s">
        <v>146</v>
      </c>
      <c r="T5" s="7" t="s">
        <v>147</v>
      </c>
      <c r="U5" s="20" t="n">
        <v>46387</v>
      </c>
      <c r="V5" s="7" t="n">
        <v>1</v>
      </c>
      <c r="W5" s="7" t="n">
        <v>3</v>
      </c>
      <c r="X5" s="19" t="n">
        <f aca="false">IF(AND(ISNUMBER(V5),ISNUMBER(W5)),V5*W5,"")</f>
        <v>3</v>
      </c>
      <c r="Y5" s="7" t="s">
        <v>38</v>
      </c>
      <c r="Z5" s="20" t="n">
        <v>46292</v>
      </c>
      <c r="AA5" s="7" t="s">
        <v>148</v>
      </c>
    </row>
    <row r="6" customFormat="false" ht="15" hidden="false" customHeight="false" outlineLevel="0" collapsed="false">
      <c r="A6" s="5"/>
      <c r="B6" s="5"/>
      <c r="C6" s="5"/>
      <c r="D6" s="5"/>
      <c r="E6" s="5"/>
      <c r="F6" s="5"/>
      <c r="G6" s="5"/>
      <c r="H6" s="19" t="str">
        <f aca="false">IF(AND(ISNUMBER(F6),ISNUMBER(G6)),F6*G6,"")</f>
        <v/>
      </c>
      <c r="I6" s="6" t="str">
        <f aca="false">IF(H6="","",LOOKUP(H6,Scales!$A$19:$A$22,Scales!$B$19:$B$22))</f>
        <v/>
      </c>
      <c r="J6" s="5"/>
      <c r="K6" s="5"/>
      <c r="L6" s="5"/>
      <c r="M6" s="5"/>
      <c r="N6" s="5"/>
      <c r="O6" s="19" t="str">
        <f aca="false">IF(AND(ISNUMBER(M6),ISNUMBER(N6)),M6*N6,"")</f>
        <v/>
      </c>
      <c r="P6" s="6" t="str">
        <f aca="false">IF(O6="","",LOOKUP(O6,Scales!$A$19:$A$22,Scales!$B$19:$B$22))</f>
        <v/>
      </c>
      <c r="Q6" s="6" t="str">
        <f aca="false">IF(O6="","",IF(O6&lt;=Scales!$C$24,"Within","Outside"))</f>
        <v/>
      </c>
      <c r="R6" s="5"/>
      <c r="S6" s="5"/>
      <c r="T6" s="5"/>
      <c r="U6" s="21"/>
      <c r="V6" s="5"/>
      <c r="W6" s="5"/>
      <c r="X6" s="19" t="str">
        <f aca="false">IF(AND(ISNUMBER(V6),ISNUMBER(W6)),V6*W6,"")</f>
        <v/>
      </c>
      <c r="Y6" s="5"/>
      <c r="Z6" s="21"/>
      <c r="AA6" s="5"/>
    </row>
    <row r="7" customFormat="false" ht="15" hidden="false" customHeight="false" outlineLevel="0" collapsed="false">
      <c r="A7" s="5"/>
      <c r="B7" s="5"/>
      <c r="C7" s="5"/>
      <c r="D7" s="5"/>
      <c r="E7" s="5"/>
      <c r="F7" s="5"/>
      <c r="G7" s="5"/>
      <c r="H7" s="19" t="str">
        <f aca="false">IF(AND(ISNUMBER(F7),ISNUMBER(G7)),F7*G7,"")</f>
        <v/>
      </c>
      <c r="I7" s="6" t="str">
        <f aca="false">IF(H7="","",LOOKUP(H7,Scales!$A$19:$A$22,Scales!$B$19:$B$22))</f>
        <v/>
      </c>
      <c r="J7" s="5"/>
      <c r="K7" s="5"/>
      <c r="L7" s="5"/>
      <c r="M7" s="5"/>
      <c r="N7" s="5"/>
      <c r="O7" s="19" t="str">
        <f aca="false">IF(AND(ISNUMBER(M7),ISNUMBER(N7)),M7*N7,"")</f>
        <v/>
      </c>
      <c r="P7" s="6" t="str">
        <f aca="false">IF(O7="","",LOOKUP(O7,Scales!$A$19:$A$22,Scales!$B$19:$B$22))</f>
        <v/>
      </c>
      <c r="Q7" s="6" t="str">
        <f aca="false">IF(O7="","",IF(O7&lt;=Scales!$C$24,"Within","Outside"))</f>
        <v/>
      </c>
      <c r="R7" s="5"/>
      <c r="S7" s="5"/>
      <c r="T7" s="5"/>
      <c r="U7" s="21"/>
      <c r="V7" s="5"/>
      <c r="W7" s="5"/>
      <c r="X7" s="19" t="str">
        <f aca="false">IF(AND(ISNUMBER(V7),ISNUMBER(W7)),V7*W7,"")</f>
        <v/>
      </c>
      <c r="Y7" s="5"/>
      <c r="Z7" s="21"/>
      <c r="AA7" s="5"/>
    </row>
    <row r="8" customFormat="false" ht="15" hidden="false" customHeight="false" outlineLevel="0" collapsed="false">
      <c r="A8" s="5"/>
      <c r="B8" s="5"/>
      <c r="C8" s="5"/>
      <c r="D8" s="5"/>
      <c r="E8" s="5"/>
      <c r="F8" s="5"/>
      <c r="G8" s="5"/>
      <c r="H8" s="19" t="str">
        <f aca="false">IF(AND(ISNUMBER(F8),ISNUMBER(G8)),F8*G8,"")</f>
        <v/>
      </c>
      <c r="I8" s="6" t="str">
        <f aca="false">IF(H8="","",LOOKUP(H8,Scales!$A$19:$A$22,Scales!$B$19:$B$22))</f>
        <v/>
      </c>
      <c r="J8" s="5"/>
      <c r="K8" s="5"/>
      <c r="L8" s="5"/>
      <c r="M8" s="5"/>
      <c r="N8" s="5"/>
      <c r="O8" s="19" t="str">
        <f aca="false">IF(AND(ISNUMBER(M8),ISNUMBER(N8)),M8*N8,"")</f>
        <v/>
      </c>
      <c r="P8" s="6" t="str">
        <f aca="false">IF(O8="","",LOOKUP(O8,Scales!$A$19:$A$22,Scales!$B$19:$B$22))</f>
        <v/>
      </c>
      <c r="Q8" s="6" t="str">
        <f aca="false">IF(O8="","",IF(O8&lt;=Scales!$C$24,"Within","Outside"))</f>
        <v/>
      </c>
      <c r="R8" s="5"/>
      <c r="S8" s="5"/>
      <c r="T8" s="5"/>
      <c r="U8" s="21"/>
      <c r="V8" s="5"/>
      <c r="W8" s="5"/>
      <c r="X8" s="19" t="str">
        <f aca="false">IF(AND(ISNUMBER(V8),ISNUMBER(W8)),V8*W8,"")</f>
        <v/>
      </c>
      <c r="Y8" s="5"/>
      <c r="Z8" s="21"/>
      <c r="AA8" s="5"/>
    </row>
    <row r="9" customFormat="false" ht="15" hidden="false" customHeight="false" outlineLevel="0" collapsed="false">
      <c r="A9" s="5"/>
      <c r="B9" s="5"/>
      <c r="C9" s="5"/>
      <c r="D9" s="5"/>
      <c r="E9" s="5"/>
      <c r="F9" s="5"/>
      <c r="G9" s="5"/>
      <c r="H9" s="19" t="str">
        <f aca="false">IF(AND(ISNUMBER(F9),ISNUMBER(G9)),F9*G9,"")</f>
        <v/>
      </c>
      <c r="I9" s="6" t="str">
        <f aca="false">IF(H9="","",LOOKUP(H9,Scales!$A$19:$A$22,Scales!$B$19:$B$22))</f>
        <v/>
      </c>
      <c r="J9" s="5"/>
      <c r="K9" s="5"/>
      <c r="L9" s="5"/>
      <c r="M9" s="5"/>
      <c r="N9" s="5"/>
      <c r="O9" s="19" t="str">
        <f aca="false">IF(AND(ISNUMBER(M9),ISNUMBER(N9)),M9*N9,"")</f>
        <v/>
      </c>
      <c r="P9" s="6" t="str">
        <f aca="false">IF(O9="","",LOOKUP(O9,Scales!$A$19:$A$22,Scales!$B$19:$B$22))</f>
        <v/>
      </c>
      <c r="Q9" s="6" t="str">
        <f aca="false">IF(O9="","",IF(O9&lt;=Scales!$C$24,"Within","Outside"))</f>
        <v/>
      </c>
      <c r="R9" s="5"/>
      <c r="S9" s="5"/>
      <c r="T9" s="5"/>
      <c r="U9" s="21"/>
      <c r="V9" s="5"/>
      <c r="W9" s="5"/>
      <c r="X9" s="19" t="str">
        <f aca="false">IF(AND(ISNUMBER(V9),ISNUMBER(W9)),V9*W9,"")</f>
        <v/>
      </c>
      <c r="Y9" s="5"/>
      <c r="Z9" s="21"/>
      <c r="AA9" s="5"/>
    </row>
    <row r="10" customFormat="false" ht="15" hidden="false" customHeight="false" outlineLevel="0" collapsed="false">
      <c r="A10" s="5"/>
      <c r="B10" s="5"/>
      <c r="C10" s="5"/>
      <c r="D10" s="5"/>
      <c r="E10" s="5"/>
      <c r="F10" s="5"/>
      <c r="G10" s="5"/>
      <c r="H10" s="19" t="str">
        <f aca="false">IF(AND(ISNUMBER(F10),ISNUMBER(G10)),F10*G10,"")</f>
        <v/>
      </c>
      <c r="I10" s="6" t="str">
        <f aca="false">IF(H10="","",LOOKUP(H10,Scales!$A$19:$A$22,Scales!$B$19:$B$22))</f>
        <v/>
      </c>
      <c r="J10" s="5"/>
      <c r="K10" s="5"/>
      <c r="L10" s="5"/>
      <c r="M10" s="5"/>
      <c r="N10" s="5"/>
      <c r="O10" s="19" t="str">
        <f aca="false">IF(AND(ISNUMBER(M10),ISNUMBER(N10)),M10*N10,"")</f>
        <v/>
      </c>
      <c r="P10" s="6" t="str">
        <f aca="false">IF(O10="","",LOOKUP(O10,Scales!$A$19:$A$22,Scales!$B$19:$B$22))</f>
        <v/>
      </c>
      <c r="Q10" s="6" t="str">
        <f aca="false">IF(O10="","",IF(O10&lt;=Scales!$C$24,"Within","Outside"))</f>
        <v/>
      </c>
      <c r="R10" s="5"/>
      <c r="S10" s="5"/>
      <c r="T10" s="5"/>
      <c r="U10" s="21"/>
      <c r="V10" s="5"/>
      <c r="W10" s="5"/>
      <c r="X10" s="19" t="str">
        <f aca="false">IF(AND(ISNUMBER(V10),ISNUMBER(W10)),V10*W10,"")</f>
        <v/>
      </c>
      <c r="Y10" s="5"/>
      <c r="Z10" s="21"/>
      <c r="AA10" s="5"/>
    </row>
    <row r="11" customFormat="false" ht="15" hidden="false" customHeight="false" outlineLevel="0" collapsed="false">
      <c r="A11" s="5"/>
      <c r="B11" s="5"/>
      <c r="C11" s="5"/>
      <c r="D11" s="5"/>
      <c r="E11" s="5"/>
      <c r="F11" s="5"/>
      <c r="G11" s="5"/>
      <c r="H11" s="19" t="str">
        <f aca="false">IF(AND(ISNUMBER(F11),ISNUMBER(G11)),F11*G11,"")</f>
        <v/>
      </c>
      <c r="I11" s="6" t="str">
        <f aca="false">IF(H11="","",LOOKUP(H11,Scales!$A$19:$A$22,Scales!$B$19:$B$22))</f>
        <v/>
      </c>
      <c r="J11" s="5"/>
      <c r="K11" s="5"/>
      <c r="L11" s="5"/>
      <c r="M11" s="5"/>
      <c r="N11" s="5"/>
      <c r="O11" s="19" t="str">
        <f aca="false">IF(AND(ISNUMBER(M11),ISNUMBER(N11)),M11*N11,"")</f>
        <v/>
      </c>
      <c r="P11" s="6" t="str">
        <f aca="false">IF(O11="","",LOOKUP(O11,Scales!$A$19:$A$22,Scales!$B$19:$B$22))</f>
        <v/>
      </c>
      <c r="Q11" s="6" t="str">
        <f aca="false">IF(O11="","",IF(O11&lt;=Scales!$C$24,"Within","Outside"))</f>
        <v/>
      </c>
      <c r="R11" s="5"/>
      <c r="S11" s="5"/>
      <c r="T11" s="5"/>
      <c r="U11" s="21"/>
      <c r="V11" s="5"/>
      <c r="W11" s="5"/>
      <c r="X11" s="19" t="str">
        <f aca="false">IF(AND(ISNUMBER(V11),ISNUMBER(W11)),V11*W11,"")</f>
        <v/>
      </c>
      <c r="Y11" s="5"/>
      <c r="Z11" s="21"/>
      <c r="AA11" s="5"/>
    </row>
    <row r="12" customFormat="false" ht="15" hidden="false" customHeight="false" outlineLevel="0" collapsed="false">
      <c r="A12" s="5"/>
      <c r="B12" s="5"/>
      <c r="C12" s="5"/>
      <c r="D12" s="5"/>
      <c r="E12" s="5"/>
      <c r="F12" s="5"/>
      <c r="G12" s="5"/>
      <c r="H12" s="19" t="str">
        <f aca="false">IF(AND(ISNUMBER(F12),ISNUMBER(G12)),F12*G12,"")</f>
        <v/>
      </c>
      <c r="I12" s="6" t="str">
        <f aca="false">IF(H12="","",LOOKUP(H12,Scales!$A$19:$A$22,Scales!$B$19:$B$22))</f>
        <v/>
      </c>
      <c r="J12" s="5"/>
      <c r="K12" s="5"/>
      <c r="L12" s="5"/>
      <c r="M12" s="5"/>
      <c r="N12" s="5"/>
      <c r="O12" s="19" t="str">
        <f aca="false">IF(AND(ISNUMBER(M12),ISNUMBER(N12)),M12*N12,"")</f>
        <v/>
      </c>
      <c r="P12" s="6" t="str">
        <f aca="false">IF(O12="","",LOOKUP(O12,Scales!$A$19:$A$22,Scales!$B$19:$B$22))</f>
        <v/>
      </c>
      <c r="Q12" s="6" t="str">
        <f aca="false">IF(O12="","",IF(O12&lt;=Scales!$C$24,"Within","Outside"))</f>
        <v/>
      </c>
      <c r="R12" s="5"/>
      <c r="S12" s="5"/>
      <c r="T12" s="5"/>
      <c r="U12" s="21"/>
      <c r="V12" s="5"/>
      <c r="W12" s="5"/>
      <c r="X12" s="19" t="str">
        <f aca="false">IF(AND(ISNUMBER(V12),ISNUMBER(W12)),V12*W12,"")</f>
        <v/>
      </c>
      <c r="Y12" s="5"/>
      <c r="Z12" s="21"/>
      <c r="AA12" s="5"/>
    </row>
    <row r="13" customFormat="false" ht="15" hidden="false" customHeight="false" outlineLevel="0" collapsed="false">
      <c r="A13" s="5"/>
      <c r="B13" s="5"/>
      <c r="C13" s="5"/>
      <c r="D13" s="5"/>
      <c r="E13" s="5"/>
      <c r="F13" s="5"/>
      <c r="G13" s="5"/>
      <c r="H13" s="19" t="str">
        <f aca="false">IF(AND(ISNUMBER(F13),ISNUMBER(G13)),F13*G13,"")</f>
        <v/>
      </c>
      <c r="I13" s="6" t="str">
        <f aca="false">IF(H13="","",LOOKUP(H13,Scales!$A$19:$A$22,Scales!$B$19:$B$22))</f>
        <v/>
      </c>
      <c r="J13" s="5"/>
      <c r="K13" s="5"/>
      <c r="L13" s="5"/>
      <c r="M13" s="5"/>
      <c r="N13" s="5"/>
      <c r="O13" s="19" t="str">
        <f aca="false">IF(AND(ISNUMBER(M13),ISNUMBER(N13)),M13*N13,"")</f>
        <v/>
      </c>
      <c r="P13" s="6" t="str">
        <f aca="false">IF(O13="","",LOOKUP(O13,Scales!$A$19:$A$22,Scales!$B$19:$B$22))</f>
        <v/>
      </c>
      <c r="Q13" s="6" t="str">
        <f aca="false">IF(O13="","",IF(O13&lt;=Scales!$C$24,"Within","Outside"))</f>
        <v/>
      </c>
      <c r="R13" s="5"/>
      <c r="S13" s="5"/>
      <c r="T13" s="5"/>
      <c r="U13" s="21"/>
      <c r="V13" s="5"/>
      <c r="W13" s="5"/>
      <c r="X13" s="19" t="str">
        <f aca="false">IF(AND(ISNUMBER(V13),ISNUMBER(W13)),V13*W13,"")</f>
        <v/>
      </c>
      <c r="Y13" s="5"/>
      <c r="Z13" s="21"/>
      <c r="AA13" s="5"/>
    </row>
    <row r="14" customFormat="false" ht="15" hidden="false" customHeight="false" outlineLevel="0" collapsed="false">
      <c r="A14" s="5"/>
      <c r="B14" s="5"/>
      <c r="C14" s="5"/>
      <c r="D14" s="5"/>
      <c r="E14" s="5"/>
      <c r="F14" s="5"/>
      <c r="G14" s="5"/>
      <c r="H14" s="19" t="str">
        <f aca="false">IF(AND(ISNUMBER(F14),ISNUMBER(G14)),F14*G14,"")</f>
        <v/>
      </c>
      <c r="I14" s="6" t="str">
        <f aca="false">IF(H14="","",LOOKUP(H14,Scales!$A$19:$A$22,Scales!$B$19:$B$22))</f>
        <v/>
      </c>
      <c r="J14" s="5"/>
      <c r="K14" s="5"/>
      <c r="L14" s="5"/>
      <c r="M14" s="5"/>
      <c r="N14" s="5"/>
      <c r="O14" s="19" t="str">
        <f aca="false">IF(AND(ISNUMBER(M14),ISNUMBER(N14)),M14*N14,"")</f>
        <v/>
      </c>
      <c r="P14" s="6" t="str">
        <f aca="false">IF(O14="","",LOOKUP(O14,Scales!$A$19:$A$22,Scales!$B$19:$B$22))</f>
        <v/>
      </c>
      <c r="Q14" s="6" t="str">
        <f aca="false">IF(O14="","",IF(O14&lt;=Scales!$C$24,"Within","Outside"))</f>
        <v/>
      </c>
      <c r="R14" s="5"/>
      <c r="S14" s="5"/>
      <c r="T14" s="5"/>
      <c r="U14" s="21"/>
      <c r="V14" s="5"/>
      <c r="W14" s="5"/>
      <c r="X14" s="19" t="str">
        <f aca="false">IF(AND(ISNUMBER(V14),ISNUMBER(W14)),V14*W14,"")</f>
        <v/>
      </c>
      <c r="Y14" s="5"/>
      <c r="Z14" s="21"/>
      <c r="AA14" s="5"/>
    </row>
    <row r="15" customFormat="false" ht="15" hidden="false" customHeight="false" outlineLevel="0" collapsed="false">
      <c r="A15" s="5"/>
      <c r="B15" s="5"/>
      <c r="C15" s="5"/>
      <c r="D15" s="5"/>
      <c r="E15" s="5"/>
      <c r="F15" s="5"/>
      <c r="G15" s="5"/>
      <c r="H15" s="19" t="str">
        <f aca="false">IF(AND(ISNUMBER(F15),ISNUMBER(G15)),F15*G15,"")</f>
        <v/>
      </c>
      <c r="I15" s="6" t="str">
        <f aca="false">IF(H15="","",LOOKUP(H15,Scales!$A$19:$A$22,Scales!$B$19:$B$22))</f>
        <v/>
      </c>
      <c r="J15" s="5"/>
      <c r="K15" s="5"/>
      <c r="L15" s="5"/>
      <c r="M15" s="5"/>
      <c r="N15" s="5"/>
      <c r="O15" s="19" t="str">
        <f aca="false">IF(AND(ISNUMBER(M15),ISNUMBER(N15)),M15*N15,"")</f>
        <v/>
      </c>
      <c r="P15" s="6" t="str">
        <f aca="false">IF(O15="","",LOOKUP(O15,Scales!$A$19:$A$22,Scales!$B$19:$B$22))</f>
        <v/>
      </c>
      <c r="Q15" s="6" t="str">
        <f aca="false">IF(O15="","",IF(O15&lt;=Scales!$C$24,"Within","Outside"))</f>
        <v/>
      </c>
      <c r="R15" s="5"/>
      <c r="S15" s="5"/>
      <c r="T15" s="5"/>
      <c r="U15" s="21"/>
      <c r="V15" s="5"/>
      <c r="W15" s="5"/>
      <c r="X15" s="19" t="str">
        <f aca="false">IF(AND(ISNUMBER(V15),ISNUMBER(W15)),V15*W15,"")</f>
        <v/>
      </c>
      <c r="Y15" s="5"/>
      <c r="Z15" s="21"/>
      <c r="AA15" s="5"/>
    </row>
    <row r="16" customFormat="false" ht="15" hidden="false" customHeight="false" outlineLevel="0" collapsed="false">
      <c r="A16" s="5"/>
      <c r="B16" s="5"/>
      <c r="C16" s="5"/>
      <c r="D16" s="5"/>
      <c r="E16" s="5"/>
      <c r="F16" s="5"/>
      <c r="G16" s="5"/>
      <c r="H16" s="19" t="str">
        <f aca="false">IF(AND(ISNUMBER(F16),ISNUMBER(G16)),F16*G16,"")</f>
        <v/>
      </c>
      <c r="I16" s="6" t="str">
        <f aca="false">IF(H16="","",LOOKUP(H16,Scales!$A$19:$A$22,Scales!$B$19:$B$22))</f>
        <v/>
      </c>
      <c r="J16" s="5"/>
      <c r="K16" s="5"/>
      <c r="L16" s="5"/>
      <c r="M16" s="5"/>
      <c r="N16" s="5"/>
      <c r="O16" s="19" t="str">
        <f aca="false">IF(AND(ISNUMBER(M16),ISNUMBER(N16)),M16*N16,"")</f>
        <v/>
      </c>
      <c r="P16" s="6" t="str">
        <f aca="false">IF(O16="","",LOOKUP(O16,Scales!$A$19:$A$22,Scales!$B$19:$B$22))</f>
        <v/>
      </c>
      <c r="Q16" s="6" t="str">
        <f aca="false">IF(O16="","",IF(O16&lt;=Scales!$C$24,"Within","Outside"))</f>
        <v/>
      </c>
      <c r="R16" s="5"/>
      <c r="S16" s="5"/>
      <c r="T16" s="5"/>
      <c r="U16" s="21"/>
      <c r="V16" s="5"/>
      <c r="W16" s="5"/>
      <c r="X16" s="19" t="str">
        <f aca="false">IF(AND(ISNUMBER(V16),ISNUMBER(W16)),V16*W16,"")</f>
        <v/>
      </c>
      <c r="Y16" s="5"/>
      <c r="Z16" s="21"/>
      <c r="AA16" s="5"/>
    </row>
    <row r="17" customFormat="false" ht="15" hidden="false" customHeight="false" outlineLevel="0" collapsed="false">
      <c r="A17" s="5"/>
      <c r="B17" s="5"/>
      <c r="C17" s="5"/>
      <c r="D17" s="5"/>
      <c r="E17" s="5"/>
      <c r="F17" s="5"/>
      <c r="G17" s="5"/>
      <c r="H17" s="19" t="str">
        <f aca="false">IF(AND(ISNUMBER(F17),ISNUMBER(G17)),F17*G17,"")</f>
        <v/>
      </c>
      <c r="I17" s="6" t="str">
        <f aca="false">IF(H17="","",LOOKUP(H17,Scales!$A$19:$A$22,Scales!$B$19:$B$22))</f>
        <v/>
      </c>
      <c r="J17" s="5"/>
      <c r="K17" s="5"/>
      <c r="L17" s="5"/>
      <c r="M17" s="5"/>
      <c r="N17" s="5"/>
      <c r="O17" s="19" t="str">
        <f aca="false">IF(AND(ISNUMBER(M17),ISNUMBER(N17)),M17*N17,"")</f>
        <v/>
      </c>
      <c r="P17" s="6" t="str">
        <f aca="false">IF(O17="","",LOOKUP(O17,Scales!$A$19:$A$22,Scales!$B$19:$B$22))</f>
        <v/>
      </c>
      <c r="Q17" s="6" t="str">
        <f aca="false">IF(O17="","",IF(O17&lt;=Scales!$C$24,"Within","Outside"))</f>
        <v/>
      </c>
      <c r="R17" s="5"/>
      <c r="S17" s="5"/>
      <c r="T17" s="5"/>
      <c r="U17" s="21"/>
      <c r="V17" s="5"/>
      <c r="W17" s="5"/>
      <c r="X17" s="19" t="str">
        <f aca="false">IF(AND(ISNUMBER(V17),ISNUMBER(W17)),V17*W17,"")</f>
        <v/>
      </c>
      <c r="Y17" s="5"/>
      <c r="Z17" s="21"/>
      <c r="AA17" s="5"/>
    </row>
    <row r="18" customFormat="false" ht="15" hidden="false" customHeight="false" outlineLevel="0" collapsed="false">
      <c r="A18" s="5"/>
      <c r="B18" s="5"/>
      <c r="C18" s="5"/>
      <c r="D18" s="5"/>
      <c r="E18" s="5"/>
      <c r="F18" s="5"/>
      <c r="G18" s="5"/>
      <c r="H18" s="19" t="str">
        <f aca="false">IF(AND(ISNUMBER(F18),ISNUMBER(G18)),F18*G18,"")</f>
        <v/>
      </c>
      <c r="I18" s="6" t="str">
        <f aca="false">IF(H18="","",LOOKUP(H18,Scales!$A$19:$A$22,Scales!$B$19:$B$22))</f>
        <v/>
      </c>
      <c r="J18" s="5"/>
      <c r="K18" s="5"/>
      <c r="L18" s="5"/>
      <c r="M18" s="5"/>
      <c r="N18" s="5"/>
      <c r="O18" s="19" t="str">
        <f aca="false">IF(AND(ISNUMBER(M18),ISNUMBER(N18)),M18*N18,"")</f>
        <v/>
      </c>
      <c r="P18" s="6" t="str">
        <f aca="false">IF(O18="","",LOOKUP(O18,Scales!$A$19:$A$22,Scales!$B$19:$B$22))</f>
        <v/>
      </c>
      <c r="Q18" s="6" t="str">
        <f aca="false">IF(O18="","",IF(O18&lt;=Scales!$C$24,"Within","Outside"))</f>
        <v/>
      </c>
      <c r="R18" s="5"/>
      <c r="S18" s="5"/>
      <c r="T18" s="5"/>
      <c r="U18" s="21"/>
      <c r="V18" s="5"/>
      <c r="W18" s="5"/>
      <c r="X18" s="19" t="str">
        <f aca="false">IF(AND(ISNUMBER(V18),ISNUMBER(W18)),V18*W18,"")</f>
        <v/>
      </c>
      <c r="Y18" s="5"/>
      <c r="Z18" s="21"/>
      <c r="AA18" s="5"/>
    </row>
    <row r="19" customFormat="false" ht="15" hidden="false" customHeight="false" outlineLevel="0" collapsed="false">
      <c r="A19" s="5"/>
      <c r="B19" s="5"/>
      <c r="C19" s="5"/>
      <c r="D19" s="5"/>
      <c r="E19" s="5"/>
      <c r="F19" s="5"/>
      <c r="G19" s="5"/>
      <c r="H19" s="19" t="str">
        <f aca="false">IF(AND(ISNUMBER(F19),ISNUMBER(G19)),F19*G19,"")</f>
        <v/>
      </c>
      <c r="I19" s="6" t="str">
        <f aca="false">IF(H19="","",LOOKUP(H19,Scales!$A$19:$A$22,Scales!$B$19:$B$22))</f>
        <v/>
      </c>
      <c r="J19" s="5"/>
      <c r="K19" s="5"/>
      <c r="L19" s="5"/>
      <c r="M19" s="5"/>
      <c r="N19" s="5"/>
      <c r="O19" s="19" t="str">
        <f aca="false">IF(AND(ISNUMBER(M19),ISNUMBER(N19)),M19*N19,"")</f>
        <v/>
      </c>
      <c r="P19" s="6" t="str">
        <f aca="false">IF(O19="","",LOOKUP(O19,Scales!$A$19:$A$22,Scales!$B$19:$B$22))</f>
        <v/>
      </c>
      <c r="Q19" s="6" t="str">
        <f aca="false">IF(O19="","",IF(O19&lt;=Scales!$C$24,"Within","Outside"))</f>
        <v/>
      </c>
      <c r="R19" s="5"/>
      <c r="S19" s="5"/>
      <c r="T19" s="5"/>
      <c r="U19" s="21"/>
      <c r="V19" s="5"/>
      <c r="W19" s="5"/>
      <c r="X19" s="19" t="str">
        <f aca="false">IF(AND(ISNUMBER(V19),ISNUMBER(W19)),V19*W19,"")</f>
        <v/>
      </c>
      <c r="Y19" s="5"/>
      <c r="Z19" s="21"/>
      <c r="AA19" s="5"/>
    </row>
    <row r="20" customFormat="false" ht="15" hidden="false" customHeight="false" outlineLevel="0" collapsed="false">
      <c r="A20" s="5"/>
      <c r="B20" s="5"/>
      <c r="C20" s="5"/>
      <c r="D20" s="5"/>
      <c r="E20" s="5"/>
      <c r="F20" s="5"/>
      <c r="G20" s="5"/>
      <c r="H20" s="19" t="str">
        <f aca="false">IF(AND(ISNUMBER(F20),ISNUMBER(G20)),F20*G20,"")</f>
        <v/>
      </c>
      <c r="I20" s="6" t="str">
        <f aca="false">IF(H20="","",LOOKUP(H20,Scales!$A$19:$A$22,Scales!$B$19:$B$22))</f>
        <v/>
      </c>
      <c r="J20" s="5"/>
      <c r="K20" s="5"/>
      <c r="L20" s="5"/>
      <c r="M20" s="5"/>
      <c r="N20" s="5"/>
      <c r="O20" s="19" t="str">
        <f aca="false">IF(AND(ISNUMBER(M20),ISNUMBER(N20)),M20*N20,"")</f>
        <v/>
      </c>
      <c r="P20" s="6" t="str">
        <f aca="false">IF(O20="","",LOOKUP(O20,Scales!$A$19:$A$22,Scales!$B$19:$B$22))</f>
        <v/>
      </c>
      <c r="Q20" s="6" t="str">
        <f aca="false">IF(O20="","",IF(O20&lt;=Scales!$C$24,"Within","Outside"))</f>
        <v/>
      </c>
      <c r="R20" s="5"/>
      <c r="S20" s="5"/>
      <c r="T20" s="5"/>
      <c r="U20" s="21"/>
      <c r="V20" s="5"/>
      <c r="W20" s="5"/>
      <c r="X20" s="19" t="str">
        <f aca="false">IF(AND(ISNUMBER(V20),ISNUMBER(W20)),V20*W20,"")</f>
        <v/>
      </c>
      <c r="Y20" s="5"/>
      <c r="Z20" s="21"/>
      <c r="AA20" s="5"/>
    </row>
    <row r="21" customFormat="false" ht="15" hidden="false" customHeight="false" outlineLevel="0" collapsed="false">
      <c r="A21" s="5"/>
      <c r="B21" s="5"/>
      <c r="C21" s="5"/>
      <c r="D21" s="5"/>
      <c r="E21" s="5"/>
      <c r="F21" s="5"/>
      <c r="G21" s="5"/>
      <c r="H21" s="19" t="str">
        <f aca="false">IF(AND(ISNUMBER(F21),ISNUMBER(G21)),F21*G21,"")</f>
        <v/>
      </c>
      <c r="I21" s="6" t="str">
        <f aca="false">IF(H21="","",LOOKUP(H21,Scales!$A$19:$A$22,Scales!$B$19:$B$22))</f>
        <v/>
      </c>
      <c r="J21" s="5"/>
      <c r="K21" s="5"/>
      <c r="L21" s="5"/>
      <c r="M21" s="5"/>
      <c r="N21" s="5"/>
      <c r="O21" s="19" t="str">
        <f aca="false">IF(AND(ISNUMBER(M21),ISNUMBER(N21)),M21*N21,"")</f>
        <v/>
      </c>
      <c r="P21" s="6" t="str">
        <f aca="false">IF(O21="","",LOOKUP(O21,Scales!$A$19:$A$22,Scales!$B$19:$B$22))</f>
        <v/>
      </c>
      <c r="Q21" s="6" t="str">
        <f aca="false">IF(O21="","",IF(O21&lt;=Scales!$C$24,"Within","Outside"))</f>
        <v/>
      </c>
      <c r="R21" s="5"/>
      <c r="S21" s="5"/>
      <c r="T21" s="5"/>
      <c r="U21" s="21"/>
      <c r="V21" s="5"/>
      <c r="W21" s="5"/>
      <c r="X21" s="19" t="str">
        <f aca="false">IF(AND(ISNUMBER(V21),ISNUMBER(W21)),V21*W21,"")</f>
        <v/>
      </c>
      <c r="Y21" s="5"/>
      <c r="Z21" s="21"/>
      <c r="AA21" s="5"/>
    </row>
    <row r="22" customFormat="false" ht="15" hidden="false" customHeight="false" outlineLevel="0" collapsed="false">
      <c r="A22" s="5"/>
      <c r="B22" s="5"/>
      <c r="C22" s="5"/>
      <c r="D22" s="5"/>
      <c r="E22" s="5"/>
      <c r="F22" s="5"/>
      <c r="G22" s="5"/>
      <c r="H22" s="19" t="str">
        <f aca="false">IF(AND(ISNUMBER(F22),ISNUMBER(G22)),F22*G22,"")</f>
        <v/>
      </c>
      <c r="I22" s="6" t="str">
        <f aca="false">IF(H22="","",LOOKUP(H22,Scales!$A$19:$A$22,Scales!$B$19:$B$22))</f>
        <v/>
      </c>
      <c r="J22" s="5"/>
      <c r="K22" s="5"/>
      <c r="L22" s="5"/>
      <c r="M22" s="5"/>
      <c r="N22" s="5"/>
      <c r="O22" s="19" t="str">
        <f aca="false">IF(AND(ISNUMBER(M22),ISNUMBER(N22)),M22*N22,"")</f>
        <v/>
      </c>
      <c r="P22" s="6" t="str">
        <f aca="false">IF(O22="","",LOOKUP(O22,Scales!$A$19:$A$22,Scales!$B$19:$B$22))</f>
        <v/>
      </c>
      <c r="Q22" s="6" t="str">
        <f aca="false">IF(O22="","",IF(O22&lt;=Scales!$C$24,"Within","Outside"))</f>
        <v/>
      </c>
      <c r="R22" s="5"/>
      <c r="S22" s="5"/>
      <c r="T22" s="5"/>
      <c r="U22" s="21"/>
      <c r="V22" s="5"/>
      <c r="W22" s="5"/>
      <c r="X22" s="19" t="str">
        <f aca="false">IF(AND(ISNUMBER(V22),ISNUMBER(W22)),V22*W22,"")</f>
        <v/>
      </c>
      <c r="Y22" s="5"/>
      <c r="Z22" s="21"/>
      <c r="AA22" s="5"/>
    </row>
    <row r="23" customFormat="false" ht="15" hidden="false" customHeight="false" outlineLevel="0" collapsed="false">
      <c r="A23" s="5"/>
      <c r="B23" s="5"/>
      <c r="C23" s="5"/>
      <c r="D23" s="5"/>
      <c r="E23" s="5"/>
      <c r="F23" s="5"/>
      <c r="G23" s="5"/>
      <c r="H23" s="19" t="str">
        <f aca="false">IF(AND(ISNUMBER(F23),ISNUMBER(G23)),F23*G23,"")</f>
        <v/>
      </c>
      <c r="I23" s="6" t="str">
        <f aca="false">IF(H23="","",LOOKUP(H23,Scales!$A$19:$A$22,Scales!$B$19:$B$22))</f>
        <v/>
      </c>
      <c r="J23" s="5"/>
      <c r="K23" s="5"/>
      <c r="L23" s="5"/>
      <c r="M23" s="5"/>
      <c r="N23" s="5"/>
      <c r="O23" s="19" t="str">
        <f aca="false">IF(AND(ISNUMBER(M23),ISNUMBER(N23)),M23*N23,"")</f>
        <v/>
      </c>
      <c r="P23" s="6" t="str">
        <f aca="false">IF(O23="","",LOOKUP(O23,Scales!$A$19:$A$22,Scales!$B$19:$B$22))</f>
        <v/>
      </c>
      <c r="Q23" s="6" t="str">
        <f aca="false">IF(O23="","",IF(O23&lt;=Scales!$C$24,"Within","Outside"))</f>
        <v/>
      </c>
      <c r="R23" s="5"/>
      <c r="S23" s="5"/>
      <c r="T23" s="5"/>
      <c r="U23" s="21"/>
      <c r="V23" s="5"/>
      <c r="W23" s="5"/>
      <c r="X23" s="19" t="str">
        <f aca="false">IF(AND(ISNUMBER(V23),ISNUMBER(W23)),V23*W23,"")</f>
        <v/>
      </c>
      <c r="Y23" s="5"/>
      <c r="Z23" s="21"/>
      <c r="AA23" s="5"/>
    </row>
    <row r="24" customFormat="false" ht="15" hidden="false" customHeight="false" outlineLevel="0" collapsed="false">
      <c r="A24" s="5"/>
      <c r="B24" s="5"/>
      <c r="C24" s="5"/>
      <c r="D24" s="5"/>
      <c r="E24" s="5"/>
      <c r="F24" s="5"/>
      <c r="G24" s="5"/>
      <c r="H24" s="19" t="str">
        <f aca="false">IF(AND(ISNUMBER(F24),ISNUMBER(G24)),F24*G24,"")</f>
        <v/>
      </c>
      <c r="I24" s="6" t="str">
        <f aca="false">IF(H24="","",LOOKUP(H24,Scales!$A$19:$A$22,Scales!$B$19:$B$22))</f>
        <v/>
      </c>
      <c r="J24" s="5"/>
      <c r="K24" s="5"/>
      <c r="L24" s="5"/>
      <c r="M24" s="5"/>
      <c r="N24" s="5"/>
      <c r="O24" s="19" t="str">
        <f aca="false">IF(AND(ISNUMBER(M24),ISNUMBER(N24)),M24*N24,"")</f>
        <v/>
      </c>
      <c r="P24" s="6" t="str">
        <f aca="false">IF(O24="","",LOOKUP(O24,Scales!$A$19:$A$22,Scales!$B$19:$B$22))</f>
        <v/>
      </c>
      <c r="Q24" s="6" t="str">
        <f aca="false">IF(O24="","",IF(O24&lt;=Scales!$C$24,"Within","Outside"))</f>
        <v/>
      </c>
      <c r="R24" s="5"/>
      <c r="S24" s="5"/>
      <c r="T24" s="5"/>
      <c r="U24" s="21"/>
      <c r="V24" s="5"/>
      <c r="W24" s="5"/>
      <c r="X24" s="19" t="str">
        <f aca="false">IF(AND(ISNUMBER(V24),ISNUMBER(W24)),V24*W24,"")</f>
        <v/>
      </c>
      <c r="Y24" s="5"/>
      <c r="Z24" s="21"/>
      <c r="AA24" s="5"/>
    </row>
    <row r="25" customFormat="false" ht="15" hidden="false" customHeight="false" outlineLevel="0" collapsed="false">
      <c r="A25" s="5"/>
      <c r="B25" s="5"/>
      <c r="C25" s="5"/>
      <c r="D25" s="5"/>
      <c r="E25" s="5"/>
      <c r="F25" s="5"/>
      <c r="G25" s="5"/>
      <c r="H25" s="19" t="str">
        <f aca="false">IF(AND(ISNUMBER(F25),ISNUMBER(G25)),F25*G25,"")</f>
        <v/>
      </c>
      <c r="I25" s="6" t="str">
        <f aca="false">IF(H25="","",LOOKUP(H25,Scales!$A$19:$A$22,Scales!$B$19:$B$22))</f>
        <v/>
      </c>
      <c r="J25" s="5"/>
      <c r="K25" s="5"/>
      <c r="L25" s="5"/>
      <c r="M25" s="5"/>
      <c r="N25" s="5"/>
      <c r="O25" s="19" t="str">
        <f aca="false">IF(AND(ISNUMBER(M25),ISNUMBER(N25)),M25*N25,"")</f>
        <v/>
      </c>
      <c r="P25" s="6" t="str">
        <f aca="false">IF(O25="","",LOOKUP(O25,Scales!$A$19:$A$22,Scales!$B$19:$B$22))</f>
        <v/>
      </c>
      <c r="Q25" s="6" t="str">
        <f aca="false">IF(O25="","",IF(O25&lt;=Scales!$C$24,"Within","Outside"))</f>
        <v/>
      </c>
      <c r="R25" s="5"/>
      <c r="S25" s="5"/>
      <c r="T25" s="5"/>
      <c r="U25" s="21"/>
      <c r="V25" s="5"/>
      <c r="W25" s="5"/>
      <c r="X25" s="19" t="str">
        <f aca="false">IF(AND(ISNUMBER(V25),ISNUMBER(W25)),V25*W25,"")</f>
        <v/>
      </c>
      <c r="Y25" s="5"/>
      <c r="Z25" s="21"/>
      <c r="AA25" s="5"/>
    </row>
    <row r="26" customFormat="false" ht="15" hidden="false" customHeight="false" outlineLevel="0" collapsed="false">
      <c r="A26" s="5"/>
      <c r="B26" s="5"/>
      <c r="C26" s="5"/>
      <c r="D26" s="5"/>
      <c r="E26" s="5"/>
      <c r="F26" s="5"/>
      <c r="G26" s="5"/>
      <c r="H26" s="19" t="str">
        <f aca="false">IF(AND(ISNUMBER(F26),ISNUMBER(G26)),F26*G26,"")</f>
        <v/>
      </c>
      <c r="I26" s="6" t="str">
        <f aca="false">IF(H26="","",LOOKUP(H26,Scales!$A$19:$A$22,Scales!$B$19:$B$22))</f>
        <v/>
      </c>
      <c r="J26" s="5"/>
      <c r="K26" s="5"/>
      <c r="L26" s="5"/>
      <c r="M26" s="5"/>
      <c r="N26" s="5"/>
      <c r="O26" s="19" t="str">
        <f aca="false">IF(AND(ISNUMBER(M26),ISNUMBER(N26)),M26*N26,"")</f>
        <v/>
      </c>
      <c r="P26" s="6" t="str">
        <f aca="false">IF(O26="","",LOOKUP(O26,Scales!$A$19:$A$22,Scales!$B$19:$B$22))</f>
        <v/>
      </c>
      <c r="Q26" s="6" t="str">
        <f aca="false">IF(O26="","",IF(O26&lt;=Scales!$C$24,"Within","Outside"))</f>
        <v/>
      </c>
      <c r="R26" s="5"/>
      <c r="S26" s="5"/>
      <c r="T26" s="5"/>
      <c r="U26" s="21"/>
      <c r="V26" s="5"/>
      <c r="W26" s="5"/>
      <c r="X26" s="19" t="str">
        <f aca="false">IF(AND(ISNUMBER(V26),ISNUMBER(W26)),V26*W26,"")</f>
        <v/>
      </c>
      <c r="Y26" s="5"/>
      <c r="Z26" s="21"/>
      <c r="AA26" s="5"/>
    </row>
    <row r="27" customFormat="false" ht="15" hidden="false" customHeight="false" outlineLevel="0" collapsed="false">
      <c r="A27" s="5"/>
      <c r="B27" s="5"/>
      <c r="C27" s="5"/>
      <c r="D27" s="5"/>
      <c r="E27" s="5"/>
      <c r="F27" s="5"/>
      <c r="G27" s="5"/>
      <c r="H27" s="19" t="str">
        <f aca="false">IF(AND(ISNUMBER(F27),ISNUMBER(G27)),F27*G27,"")</f>
        <v/>
      </c>
      <c r="I27" s="6" t="str">
        <f aca="false">IF(H27="","",LOOKUP(H27,Scales!$A$19:$A$22,Scales!$B$19:$B$22))</f>
        <v/>
      </c>
      <c r="J27" s="5"/>
      <c r="K27" s="5"/>
      <c r="L27" s="5"/>
      <c r="M27" s="5"/>
      <c r="N27" s="5"/>
      <c r="O27" s="19" t="str">
        <f aca="false">IF(AND(ISNUMBER(M27),ISNUMBER(N27)),M27*N27,"")</f>
        <v/>
      </c>
      <c r="P27" s="6" t="str">
        <f aca="false">IF(O27="","",LOOKUP(O27,Scales!$A$19:$A$22,Scales!$B$19:$B$22))</f>
        <v/>
      </c>
      <c r="Q27" s="6" t="str">
        <f aca="false">IF(O27="","",IF(O27&lt;=Scales!$C$24,"Within","Outside"))</f>
        <v/>
      </c>
      <c r="R27" s="5"/>
      <c r="S27" s="5"/>
      <c r="T27" s="5"/>
      <c r="U27" s="21"/>
      <c r="V27" s="5"/>
      <c r="W27" s="5"/>
      <c r="X27" s="19" t="str">
        <f aca="false">IF(AND(ISNUMBER(V27),ISNUMBER(W27)),V27*W27,"")</f>
        <v/>
      </c>
      <c r="Y27" s="5"/>
      <c r="Z27" s="21"/>
      <c r="AA27" s="5"/>
    </row>
    <row r="28" customFormat="false" ht="15" hidden="false" customHeight="false" outlineLevel="0" collapsed="false">
      <c r="A28" s="5"/>
      <c r="B28" s="5"/>
      <c r="C28" s="5"/>
      <c r="D28" s="5"/>
      <c r="E28" s="5"/>
      <c r="F28" s="5"/>
      <c r="G28" s="5"/>
      <c r="H28" s="19" t="str">
        <f aca="false">IF(AND(ISNUMBER(F28),ISNUMBER(G28)),F28*G28,"")</f>
        <v/>
      </c>
      <c r="I28" s="6" t="str">
        <f aca="false">IF(H28="","",LOOKUP(H28,Scales!$A$19:$A$22,Scales!$B$19:$B$22))</f>
        <v/>
      </c>
      <c r="J28" s="5"/>
      <c r="K28" s="5"/>
      <c r="L28" s="5"/>
      <c r="M28" s="5"/>
      <c r="N28" s="5"/>
      <c r="O28" s="19" t="str">
        <f aca="false">IF(AND(ISNUMBER(M28),ISNUMBER(N28)),M28*N28,"")</f>
        <v/>
      </c>
      <c r="P28" s="6" t="str">
        <f aca="false">IF(O28="","",LOOKUP(O28,Scales!$A$19:$A$22,Scales!$B$19:$B$22))</f>
        <v/>
      </c>
      <c r="Q28" s="6" t="str">
        <f aca="false">IF(O28="","",IF(O28&lt;=Scales!$C$24,"Within","Outside"))</f>
        <v/>
      </c>
      <c r="R28" s="5"/>
      <c r="S28" s="5"/>
      <c r="T28" s="5"/>
      <c r="U28" s="21"/>
      <c r="V28" s="5"/>
      <c r="W28" s="5"/>
      <c r="X28" s="19" t="str">
        <f aca="false">IF(AND(ISNUMBER(V28),ISNUMBER(W28)),V28*W28,"")</f>
        <v/>
      </c>
      <c r="Y28" s="5"/>
      <c r="Z28" s="21"/>
      <c r="AA28" s="5"/>
    </row>
    <row r="29" customFormat="false" ht="15" hidden="false" customHeight="false" outlineLevel="0" collapsed="false">
      <c r="A29" s="5"/>
      <c r="B29" s="5"/>
      <c r="C29" s="5"/>
      <c r="D29" s="5"/>
      <c r="E29" s="5"/>
      <c r="F29" s="5"/>
      <c r="G29" s="5"/>
      <c r="H29" s="19" t="str">
        <f aca="false">IF(AND(ISNUMBER(F29),ISNUMBER(G29)),F29*G29,"")</f>
        <v/>
      </c>
      <c r="I29" s="6" t="str">
        <f aca="false">IF(H29="","",LOOKUP(H29,Scales!$A$19:$A$22,Scales!$B$19:$B$22))</f>
        <v/>
      </c>
      <c r="J29" s="5"/>
      <c r="K29" s="5"/>
      <c r="L29" s="5"/>
      <c r="M29" s="5"/>
      <c r="N29" s="5"/>
      <c r="O29" s="19" t="str">
        <f aca="false">IF(AND(ISNUMBER(M29),ISNUMBER(N29)),M29*N29,"")</f>
        <v/>
      </c>
      <c r="P29" s="6" t="str">
        <f aca="false">IF(O29="","",LOOKUP(O29,Scales!$A$19:$A$22,Scales!$B$19:$B$22))</f>
        <v/>
      </c>
      <c r="Q29" s="6" t="str">
        <f aca="false">IF(O29="","",IF(O29&lt;=Scales!$C$24,"Within","Outside"))</f>
        <v/>
      </c>
      <c r="R29" s="5"/>
      <c r="S29" s="5"/>
      <c r="T29" s="5"/>
      <c r="U29" s="21"/>
      <c r="V29" s="5"/>
      <c r="W29" s="5"/>
      <c r="X29" s="19" t="str">
        <f aca="false">IF(AND(ISNUMBER(V29),ISNUMBER(W29)),V29*W29,"")</f>
        <v/>
      </c>
      <c r="Y29" s="5"/>
      <c r="Z29" s="21"/>
      <c r="AA29" s="5"/>
    </row>
    <row r="30" customFormat="false" ht="15" hidden="false" customHeight="false" outlineLevel="0" collapsed="false">
      <c r="A30" s="5"/>
      <c r="B30" s="5"/>
      <c r="C30" s="5"/>
      <c r="D30" s="5"/>
      <c r="E30" s="5"/>
      <c r="F30" s="5"/>
      <c r="G30" s="5"/>
      <c r="H30" s="19" t="str">
        <f aca="false">IF(AND(ISNUMBER(F30),ISNUMBER(G30)),F30*G30,"")</f>
        <v/>
      </c>
      <c r="I30" s="6" t="str">
        <f aca="false">IF(H30="","",LOOKUP(H30,Scales!$A$19:$A$22,Scales!$B$19:$B$22))</f>
        <v/>
      </c>
      <c r="J30" s="5"/>
      <c r="K30" s="5"/>
      <c r="L30" s="5"/>
      <c r="M30" s="5"/>
      <c r="N30" s="5"/>
      <c r="O30" s="19" t="str">
        <f aca="false">IF(AND(ISNUMBER(M30),ISNUMBER(N30)),M30*N30,"")</f>
        <v/>
      </c>
      <c r="P30" s="6" t="str">
        <f aca="false">IF(O30="","",LOOKUP(O30,Scales!$A$19:$A$22,Scales!$B$19:$B$22))</f>
        <v/>
      </c>
      <c r="Q30" s="6" t="str">
        <f aca="false">IF(O30="","",IF(O30&lt;=Scales!$C$24,"Within","Outside"))</f>
        <v/>
      </c>
      <c r="R30" s="5"/>
      <c r="S30" s="5"/>
      <c r="T30" s="5"/>
      <c r="U30" s="21"/>
      <c r="V30" s="5"/>
      <c r="W30" s="5"/>
      <c r="X30" s="19" t="str">
        <f aca="false">IF(AND(ISNUMBER(V30),ISNUMBER(W30)),V30*W30,"")</f>
        <v/>
      </c>
      <c r="Y30" s="5"/>
      <c r="Z30" s="21"/>
      <c r="AA30" s="5"/>
    </row>
    <row r="31" customFormat="false" ht="15" hidden="false" customHeight="false" outlineLevel="0" collapsed="false">
      <c r="A31" s="5"/>
      <c r="B31" s="5"/>
      <c r="C31" s="5"/>
      <c r="D31" s="5"/>
      <c r="E31" s="5"/>
      <c r="F31" s="5"/>
      <c r="G31" s="5"/>
      <c r="H31" s="19" t="str">
        <f aca="false">IF(AND(ISNUMBER(F31),ISNUMBER(G31)),F31*G31,"")</f>
        <v/>
      </c>
      <c r="I31" s="6" t="str">
        <f aca="false">IF(H31="","",LOOKUP(H31,Scales!$A$19:$A$22,Scales!$B$19:$B$22))</f>
        <v/>
      </c>
      <c r="J31" s="5"/>
      <c r="K31" s="5"/>
      <c r="L31" s="5"/>
      <c r="M31" s="5"/>
      <c r="N31" s="5"/>
      <c r="O31" s="19" t="str">
        <f aca="false">IF(AND(ISNUMBER(M31),ISNUMBER(N31)),M31*N31,"")</f>
        <v/>
      </c>
      <c r="P31" s="6" t="str">
        <f aca="false">IF(O31="","",LOOKUP(O31,Scales!$A$19:$A$22,Scales!$B$19:$B$22))</f>
        <v/>
      </c>
      <c r="Q31" s="6" t="str">
        <f aca="false">IF(O31="","",IF(O31&lt;=Scales!$C$24,"Within","Outside"))</f>
        <v/>
      </c>
      <c r="R31" s="5"/>
      <c r="S31" s="5"/>
      <c r="T31" s="5"/>
      <c r="U31" s="21"/>
      <c r="V31" s="5"/>
      <c r="W31" s="5"/>
      <c r="X31" s="19" t="str">
        <f aca="false">IF(AND(ISNUMBER(V31),ISNUMBER(W31)),V31*W31,"")</f>
        <v/>
      </c>
      <c r="Y31" s="5"/>
      <c r="Z31" s="21"/>
      <c r="AA31" s="5"/>
    </row>
    <row r="32" customFormat="false" ht="15" hidden="false" customHeight="false" outlineLevel="0" collapsed="false">
      <c r="A32" s="5"/>
      <c r="B32" s="5"/>
      <c r="C32" s="5"/>
      <c r="D32" s="5"/>
      <c r="E32" s="5"/>
      <c r="F32" s="5"/>
      <c r="G32" s="5"/>
      <c r="H32" s="19" t="str">
        <f aca="false">IF(AND(ISNUMBER(F32),ISNUMBER(G32)),F32*G32,"")</f>
        <v/>
      </c>
      <c r="I32" s="6" t="str">
        <f aca="false">IF(H32="","",LOOKUP(H32,Scales!$A$19:$A$22,Scales!$B$19:$B$22))</f>
        <v/>
      </c>
      <c r="J32" s="5"/>
      <c r="K32" s="5"/>
      <c r="L32" s="5"/>
      <c r="M32" s="5"/>
      <c r="N32" s="5"/>
      <c r="O32" s="19" t="str">
        <f aca="false">IF(AND(ISNUMBER(M32),ISNUMBER(N32)),M32*N32,"")</f>
        <v/>
      </c>
      <c r="P32" s="6" t="str">
        <f aca="false">IF(O32="","",LOOKUP(O32,Scales!$A$19:$A$22,Scales!$B$19:$B$22))</f>
        <v/>
      </c>
      <c r="Q32" s="6" t="str">
        <f aca="false">IF(O32="","",IF(O32&lt;=Scales!$C$24,"Within","Outside"))</f>
        <v/>
      </c>
      <c r="R32" s="5"/>
      <c r="S32" s="5"/>
      <c r="T32" s="5"/>
      <c r="U32" s="21"/>
      <c r="V32" s="5"/>
      <c r="W32" s="5"/>
      <c r="X32" s="19" t="str">
        <f aca="false">IF(AND(ISNUMBER(V32),ISNUMBER(W32)),V32*W32,"")</f>
        <v/>
      </c>
      <c r="Y32" s="5"/>
      <c r="Z32" s="21"/>
      <c r="AA32" s="5"/>
    </row>
    <row r="33" customFormat="false" ht="15" hidden="false" customHeight="false" outlineLevel="0" collapsed="false">
      <c r="A33" s="5"/>
      <c r="B33" s="5"/>
      <c r="C33" s="5"/>
      <c r="D33" s="5"/>
      <c r="E33" s="5"/>
      <c r="F33" s="5"/>
      <c r="G33" s="5"/>
      <c r="H33" s="19" t="str">
        <f aca="false">IF(AND(ISNUMBER(F33),ISNUMBER(G33)),F33*G33,"")</f>
        <v/>
      </c>
      <c r="I33" s="6" t="str">
        <f aca="false">IF(H33="","",LOOKUP(H33,Scales!$A$19:$A$22,Scales!$B$19:$B$22))</f>
        <v/>
      </c>
      <c r="J33" s="5"/>
      <c r="K33" s="5"/>
      <c r="L33" s="5"/>
      <c r="M33" s="5"/>
      <c r="N33" s="5"/>
      <c r="O33" s="19" t="str">
        <f aca="false">IF(AND(ISNUMBER(M33),ISNUMBER(N33)),M33*N33,"")</f>
        <v/>
      </c>
      <c r="P33" s="6" t="str">
        <f aca="false">IF(O33="","",LOOKUP(O33,Scales!$A$19:$A$22,Scales!$B$19:$B$22))</f>
        <v/>
      </c>
      <c r="Q33" s="6" t="str">
        <f aca="false">IF(O33="","",IF(O33&lt;=Scales!$C$24,"Within","Outside"))</f>
        <v/>
      </c>
      <c r="R33" s="5"/>
      <c r="S33" s="5"/>
      <c r="T33" s="5"/>
      <c r="U33" s="21"/>
      <c r="V33" s="5"/>
      <c r="W33" s="5"/>
      <c r="X33" s="19" t="str">
        <f aca="false">IF(AND(ISNUMBER(V33),ISNUMBER(W33)),V33*W33,"")</f>
        <v/>
      </c>
      <c r="Y33" s="5"/>
      <c r="Z33" s="21"/>
      <c r="AA33" s="5"/>
    </row>
    <row r="34" customFormat="false" ht="15" hidden="false" customHeight="false" outlineLevel="0" collapsed="false">
      <c r="A34" s="5"/>
      <c r="B34" s="5"/>
      <c r="C34" s="5"/>
      <c r="D34" s="5"/>
      <c r="E34" s="5"/>
      <c r="F34" s="5"/>
      <c r="G34" s="5"/>
      <c r="H34" s="19" t="str">
        <f aca="false">IF(AND(ISNUMBER(F34),ISNUMBER(G34)),F34*G34,"")</f>
        <v/>
      </c>
      <c r="I34" s="6" t="str">
        <f aca="false">IF(H34="","",LOOKUP(H34,Scales!$A$19:$A$22,Scales!$B$19:$B$22))</f>
        <v/>
      </c>
      <c r="J34" s="5"/>
      <c r="K34" s="5"/>
      <c r="L34" s="5"/>
      <c r="M34" s="5"/>
      <c r="N34" s="5"/>
      <c r="O34" s="19" t="str">
        <f aca="false">IF(AND(ISNUMBER(M34),ISNUMBER(N34)),M34*N34,"")</f>
        <v/>
      </c>
      <c r="P34" s="6" t="str">
        <f aca="false">IF(O34="","",LOOKUP(O34,Scales!$A$19:$A$22,Scales!$B$19:$B$22))</f>
        <v/>
      </c>
      <c r="Q34" s="6" t="str">
        <f aca="false">IF(O34="","",IF(O34&lt;=Scales!$C$24,"Within","Outside"))</f>
        <v/>
      </c>
      <c r="R34" s="5"/>
      <c r="S34" s="5"/>
      <c r="T34" s="5"/>
      <c r="U34" s="21"/>
      <c r="V34" s="5"/>
      <c r="W34" s="5"/>
      <c r="X34" s="19" t="str">
        <f aca="false">IF(AND(ISNUMBER(V34),ISNUMBER(W34)),V34*W34,"")</f>
        <v/>
      </c>
      <c r="Y34" s="5"/>
      <c r="Z34" s="21"/>
      <c r="AA34" s="5"/>
    </row>
    <row r="35" customFormat="false" ht="15" hidden="false" customHeight="false" outlineLevel="0" collapsed="false">
      <c r="A35" s="5"/>
      <c r="B35" s="5"/>
      <c r="C35" s="5"/>
      <c r="D35" s="5"/>
      <c r="E35" s="5"/>
      <c r="F35" s="5"/>
      <c r="G35" s="5"/>
      <c r="H35" s="19" t="str">
        <f aca="false">IF(AND(ISNUMBER(F35),ISNUMBER(G35)),F35*G35,"")</f>
        <v/>
      </c>
      <c r="I35" s="6" t="str">
        <f aca="false">IF(H35="","",LOOKUP(H35,Scales!$A$19:$A$22,Scales!$B$19:$B$22))</f>
        <v/>
      </c>
      <c r="J35" s="5"/>
      <c r="K35" s="5"/>
      <c r="L35" s="5"/>
      <c r="M35" s="5"/>
      <c r="N35" s="5"/>
      <c r="O35" s="19" t="str">
        <f aca="false">IF(AND(ISNUMBER(M35),ISNUMBER(N35)),M35*N35,"")</f>
        <v/>
      </c>
      <c r="P35" s="6" t="str">
        <f aca="false">IF(O35="","",LOOKUP(O35,Scales!$A$19:$A$22,Scales!$B$19:$B$22))</f>
        <v/>
      </c>
      <c r="Q35" s="6" t="str">
        <f aca="false">IF(O35="","",IF(O35&lt;=Scales!$C$24,"Within","Outside"))</f>
        <v/>
      </c>
      <c r="R35" s="5"/>
      <c r="S35" s="5"/>
      <c r="T35" s="5"/>
      <c r="U35" s="21"/>
      <c r="V35" s="5"/>
      <c r="W35" s="5"/>
      <c r="X35" s="19" t="str">
        <f aca="false">IF(AND(ISNUMBER(V35),ISNUMBER(W35)),V35*W35,"")</f>
        <v/>
      </c>
      <c r="Y35" s="5"/>
      <c r="Z35" s="21"/>
      <c r="AA35" s="5"/>
    </row>
    <row r="36" customFormat="false" ht="15" hidden="false" customHeight="false" outlineLevel="0" collapsed="false">
      <c r="A36" s="5"/>
      <c r="B36" s="5"/>
      <c r="C36" s="5"/>
      <c r="D36" s="5"/>
      <c r="E36" s="5"/>
      <c r="F36" s="5"/>
      <c r="G36" s="5"/>
      <c r="H36" s="19" t="str">
        <f aca="false">IF(AND(ISNUMBER(F36),ISNUMBER(G36)),F36*G36,"")</f>
        <v/>
      </c>
      <c r="I36" s="6" t="str">
        <f aca="false">IF(H36="","",LOOKUP(H36,Scales!$A$19:$A$22,Scales!$B$19:$B$22))</f>
        <v/>
      </c>
      <c r="J36" s="5"/>
      <c r="K36" s="5"/>
      <c r="L36" s="5"/>
      <c r="M36" s="5"/>
      <c r="N36" s="5"/>
      <c r="O36" s="19" t="str">
        <f aca="false">IF(AND(ISNUMBER(M36),ISNUMBER(N36)),M36*N36,"")</f>
        <v/>
      </c>
      <c r="P36" s="6" t="str">
        <f aca="false">IF(O36="","",LOOKUP(O36,Scales!$A$19:$A$22,Scales!$B$19:$B$22))</f>
        <v/>
      </c>
      <c r="Q36" s="6" t="str">
        <f aca="false">IF(O36="","",IF(O36&lt;=Scales!$C$24,"Within","Outside"))</f>
        <v/>
      </c>
      <c r="R36" s="5"/>
      <c r="S36" s="5"/>
      <c r="T36" s="5"/>
      <c r="U36" s="21"/>
      <c r="V36" s="5"/>
      <c r="W36" s="5"/>
      <c r="X36" s="19" t="str">
        <f aca="false">IF(AND(ISNUMBER(V36),ISNUMBER(W36)),V36*W36,"")</f>
        <v/>
      </c>
      <c r="Y36" s="5"/>
      <c r="Z36" s="21"/>
      <c r="AA36" s="5"/>
    </row>
    <row r="37" customFormat="false" ht="15" hidden="false" customHeight="false" outlineLevel="0" collapsed="false">
      <c r="A37" s="5"/>
      <c r="B37" s="5"/>
      <c r="C37" s="5"/>
      <c r="D37" s="5"/>
      <c r="E37" s="5"/>
      <c r="F37" s="5"/>
      <c r="G37" s="5"/>
      <c r="H37" s="19" t="str">
        <f aca="false">IF(AND(ISNUMBER(F37),ISNUMBER(G37)),F37*G37,"")</f>
        <v/>
      </c>
      <c r="I37" s="6" t="str">
        <f aca="false">IF(H37="","",LOOKUP(H37,Scales!$A$19:$A$22,Scales!$B$19:$B$22))</f>
        <v/>
      </c>
      <c r="J37" s="5"/>
      <c r="K37" s="5"/>
      <c r="L37" s="5"/>
      <c r="M37" s="5"/>
      <c r="N37" s="5"/>
      <c r="O37" s="19" t="str">
        <f aca="false">IF(AND(ISNUMBER(M37),ISNUMBER(N37)),M37*N37,"")</f>
        <v/>
      </c>
      <c r="P37" s="6" t="str">
        <f aca="false">IF(O37="","",LOOKUP(O37,Scales!$A$19:$A$22,Scales!$B$19:$B$22))</f>
        <v/>
      </c>
      <c r="Q37" s="6" t="str">
        <f aca="false">IF(O37="","",IF(O37&lt;=Scales!$C$24,"Within","Outside"))</f>
        <v/>
      </c>
      <c r="R37" s="5"/>
      <c r="S37" s="5"/>
      <c r="T37" s="5"/>
      <c r="U37" s="21"/>
      <c r="V37" s="5"/>
      <c r="W37" s="5"/>
      <c r="X37" s="19" t="str">
        <f aca="false">IF(AND(ISNUMBER(V37),ISNUMBER(W37)),V37*W37,"")</f>
        <v/>
      </c>
      <c r="Y37" s="5"/>
      <c r="Z37" s="21"/>
      <c r="AA37" s="5"/>
    </row>
    <row r="38" customFormat="false" ht="15" hidden="false" customHeight="false" outlineLevel="0" collapsed="false">
      <c r="A38" s="5"/>
      <c r="B38" s="5"/>
      <c r="C38" s="5"/>
      <c r="D38" s="5"/>
      <c r="E38" s="5"/>
      <c r="F38" s="5"/>
      <c r="G38" s="5"/>
      <c r="H38" s="19" t="str">
        <f aca="false">IF(AND(ISNUMBER(F38),ISNUMBER(G38)),F38*G38,"")</f>
        <v/>
      </c>
      <c r="I38" s="6" t="str">
        <f aca="false">IF(H38="","",LOOKUP(H38,Scales!$A$19:$A$22,Scales!$B$19:$B$22))</f>
        <v/>
      </c>
      <c r="J38" s="5"/>
      <c r="K38" s="5"/>
      <c r="L38" s="5"/>
      <c r="M38" s="5"/>
      <c r="N38" s="5"/>
      <c r="O38" s="19" t="str">
        <f aca="false">IF(AND(ISNUMBER(M38),ISNUMBER(N38)),M38*N38,"")</f>
        <v/>
      </c>
      <c r="P38" s="6" t="str">
        <f aca="false">IF(O38="","",LOOKUP(O38,Scales!$A$19:$A$22,Scales!$B$19:$B$22))</f>
        <v/>
      </c>
      <c r="Q38" s="6" t="str">
        <f aca="false">IF(O38="","",IF(O38&lt;=Scales!$C$24,"Within","Outside"))</f>
        <v/>
      </c>
      <c r="R38" s="5"/>
      <c r="S38" s="5"/>
      <c r="T38" s="5"/>
      <c r="U38" s="21"/>
      <c r="V38" s="5"/>
      <c r="W38" s="5"/>
      <c r="X38" s="19" t="str">
        <f aca="false">IF(AND(ISNUMBER(V38),ISNUMBER(W38)),V38*W38,"")</f>
        <v/>
      </c>
      <c r="Y38" s="5"/>
      <c r="Z38" s="21"/>
      <c r="AA38" s="5"/>
    </row>
    <row r="39" customFormat="false" ht="15" hidden="false" customHeight="false" outlineLevel="0" collapsed="false">
      <c r="A39" s="5"/>
      <c r="B39" s="5"/>
      <c r="C39" s="5"/>
      <c r="D39" s="5"/>
      <c r="E39" s="5"/>
      <c r="F39" s="5"/>
      <c r="G39" s="5"/>
      <c r="H39" s="19" t="str">
        <f aca="false">IF(AND(ISNUMBER(F39),ISNUMBER(G39)),F39*G39,"")</f>
        <v/>
      </c>
      <c r="I39" s="6" t="str">
        <f aca="false">IF(H39="","",LOOKUP(H39,Scales!$A$19:$A$22,Scales!$B$19:$B$22))</f>
        <v/>
      </c>
      <c r="J39" s="5"/>
      <c r="K39" s="5"/>
      <c r="L39" s="5"/>
      <c r="M39" s="5"/>
      <c r="N39" s="5"/>
      <c r="O39" s="19" t="str">
        <f aca="false">IF(AND(ISNUMBER(M39),ISNUMBER(N39)),M39*N39,"")</f>
        <v/>
      </c>
      <c r="P39" s="6" t="str">
        <f aca="false">IF(O39="","",LOOKUP(O39,Scales!$A$19:$A$22,Scales!$B$19:$B$22))</f>
        <v/>
      </c>
      <c r="Q39" s="6" t="str">
        <f aca="false">IF(O39="","",IF(O39&lt;=Scales!$C$24,"Within","Outside"))</f>
        <v/>
      </c>
      <c r="R39" s="5"/>
      <c r="S39" s="5"/>
      <c r="T39" s="5"/>
      <c r="U39" s="21"/>
      <c r="V39" s="5"/>
      <c r="W39" s="5"/>
      <c r="X39" s="19" t="str">
        <f aca="false">IF(AND(ISNUMBER(V39),ISNUMBER(W39)),V39*W39,"")</f>
        <v/>
      </c>
      <c r="Y39" s="5"/>
      <c r="Z39" s="21"/>
      <c r="AA39" s="5"/>
    </row>
    <row r="40" customFormat="false" ht="15" hidden="false" customHeight="false" outlineLevel="0" collapsed="false">
      <c r="A40" s="5"/>
      <c r="B40" s="5"/>
      <c r="C40" s="5"/>
      <c r="D40" s="5"/>
      <c r="E40" s="5"/>
      <c r="F40" s="5"/>
      <c r="G40" s="5"/>
      <c r="H40" s="19" t="str">
        <f aca="false">IF(AND(ISNUMBER(F40),ISNUMBER(G40)),F40*G40,"")</f>
        <v/>
      </c>
      <c r="I40" s="6" t="str">
        <f aca="false">IF(H40="","",LOOKUP(H40,Scales!$A$19:$A$22,Scales!$B$19:$B$22))</f>
        <v/>
      </c>
      <c r="J40" s="5"/>
      <c r="K40" s="5"/>
      <c r="L40" s="5"/>
      <c r="M40" s="5"/>
      <c r="N40" s="5"/>
      <c r="O40" s="19" t="str">
        <f aca="false">IF(AND(ISNUMBER(M40),ISNUMBER(N40)),M40*N40,"")</f>
        <v/>
      </c>
      <c r="P40" s="6" t="str">
        <f aca="false">IF(O40="","",LOOKUP(O40,Scales!$A$19:$A$22,Scales!$B$19:$B$22))</f>
        <v/>
      </c>
      <c r="Q40" s="6" t="str">
        <f aca="false">IF(O40="","",IF(O40&lt;=Scales!$C$24,"Within","Outside"))</f>
        <v/>
      </c>
      <c r="R40" s="5"/>
      <c r="S40" s="5"/>
      <c r="T40" s="5"/>
      <c r="U40" s="21"/>
      <c r="V40" s="5"/>
      <c r="W40" s="5"/>
      <c r="X40" s="19" t="str">
        <f aca="false">IF(AND(ISNUMBER(V40),ISNUMBER(W40)),V40*W40,"")</f>
        <v/>
      </c>
      <c r="Y40" s="5"/>
      <c r="Z40" s="21"/>
      <c r="AA40" s="5"/>
    </row>
    <row r="41" customFormat="false" ht="15" hidden="false" customHeight="false" outlineLevel="0" collapsed="false">
      <c r="A41" s="5"/>
      <c r="B41" s="5"/>
      <c r="C41" s="5"/>
      <c r="D41" s="5"/>
      <c r="E41" s="5"/>
      <c r="F41" s="5"/>
      <c r="G41" s="5"/>
      <c r="H41" s="19" t="str">
        <f aca="false">IF(AND(ISNUMBER(F41),ISNUMBER(G41)),F41*G41,"")</f>
        <v/>
      </c>
      <c r="I41" s="6" t="str">
        <f aca="false">IF(H41="","",LOOKUP(H41,Scales!$A$19:$A$22,Scales!$B$19:$B$22))</f>
        <v/>
      </c>
      <c r="J41" s="5"/>
      <c r="K41" s="5"/>
      <c r="L41" s="5"/>
      <c r="M41" s="5"/>
      <c r="N41" s="5"/>
      <c r="O41" s="19" t="str">
        <f aca="false">IF(AND(ISNUMBER(M41),ISNUMBER(N41)),M41*N41,"")</f>
        <v/>
      </c>
      <c r="P41" s="6" t="str">
        <f aca="false">IF(O41="","",LOOKUP(O41,Scales!$A$19:$A$22,Scales!$B$19:$B$22))</f>
        <v/>
      </c>
      <c r="Q41" s="6" t="str">
        <f aca="false">IF(O41="","",IF(O41&lt;=Scales!$C$24,"Within","Outside"))</f>
        <v/>
      </c>
      <c r="R41" s="5"/>
      <c r="S41" s="5"/>
      <c r="T41" s="5"/>
      <c r="U41" s="21"/>
      <c r="V41" s="5"/>
      <c r="W41" s="5"/>
      <c r="X41" s="19" t="str">
        <f aca="false">IF(AND(ISNUMBER(V41),ISNUMBER(W41)),V41*W41,"")</f>
        <v/>
      </c>
      <c r="Y41" s="5"/>
      <c r="Z41" s="21"/>
      <c r="AA41" s="5"/>
    </row>
    <row r="42" customFormat="false" ht="15" hidden="false" customHeight="false" outlineLevel="0" collapsed="false">
      <c r="A42" s="5"/>
      <c r="B42" s="5"/>
      <c r="C42" s="5"/>
      <c r="D42" s="5"/>
      <c r="E42" s="5"/>
      <c r="F42" s="5"/>
      <c r="G42" s="5"/>
      <c r="H42" s="19" t="str">
        <f aca="false">IF(AND(ISNUMBER(F42),ISNUMBER(G42)),F42*G42,"")</f>
        <v/>
      </c>
      <c r="I42" s="6" t="str">
        <f aca="false">IF(H42="","",LOOKUP(H42,Scales!$A$19:$A$22,Scales!$B$19:$B$22))</f>
        <v/>
      </c>
      <c r="J42" s="5"/>
      <c r="K42" s="5"/>
      <c r="L42" s="5"/>
      <c r="M42" s="5"/>
      <c r="N42" s="5"/>
      <c r="O42" s="19" t="str">
        <f aca="false">IF(AND(ISNUMBER(M42),ISNUMBER(N42)),M42*N42,"")</f>
        <v/>
      </c>
      <c r="P42" s="6" t="str">
        <f aca="false">IF(O42="","",LOOKUP(O42,Scales!$A$19:$A$22,Scales!$B$19:$B$22))</f>
        <v/>
      </c>
      <c r="Q42" s="6" t="str">
        <f aca="false">IF(O42="","",IF(O42&lt;=Scales!$C$24,"Within","Outside"))</f>
        <v/>
      </c>
      <c r="R42" s="5"/>
      <c r="S42" s="5"/>
      <c r="T42" s="5"/>
      <c r="U42" s="21"/>
      <c r="V42" s="5"/>
      <c r="W42" s="5"/>
      <c r="X42" s="19" t="str">
        <f aca="false">IF(AND(ISNUMBER(V42),ISNUMBER(W42)),V42*W42,"")</f>
        <v/>
      </c>
      <c r="Y42" s="5"/>
      <c r="Z42" s="21"/>
      <c r="AA42" s="5"/>
    </row>
    <row r="43" customFormat="false" ht="15" hidden="false" customHeight="false" outlineLevel="0" collapsed="false">
      <c r="A43" s="5"/>
      <c r="B43" s="5"/>
      <c r="C43" s="5"/>
      <c r="D43" s="5"/>
      <c r="E43" s="5"/>
      <c r="F43" s="5"/>
      <c r="G43" s="5"/>
      <c r="H43" s="19" t="str">
        <f aca="false">IF(AND(ISNUMBER(F43),ISNUMBER(G43)),F43*G43,"")</f>
        <v/>
      </c>
      <c r="I43" s="6" t="str">
        <f aca="false">IF(H43="","",LOOKUP(H43,Scales!$A$19:$A$22,Scales!$B$19:$B$22))</f>
        <v/>
      </c>
      <c r="J43" s="5"/>
      <c r="K43" s="5"/>
      <c r="L43" s="5"/>
      <c r="M43" s="5"/>
      <c r="N43" s="5"/>
      <c r="O43" s="19" t="str">
        <f aca="false">IF(AND(ISNUMBER(M43),ISNUMBER(N43)),M43*N43,"")</f>
        <v/>
      </c>
      <c r="P43" s="6" t="str">
        <f aca="false">IF(O43="","",LOOKUP(O43,Scales!$A$19:$A$22,Scales!$B$19:$B$22))</f>
        <v/>
      </c>
      <c r="Q43" s="6" t="str">
        <f aca="false">IF(O43="","",IF(O43&lt;=Scales!$C$24,"Within","Outside"))</f>
        <v/>
      </c>
      <c r="R43" s="5"/>
      <c r="S43" s="5"/>
      <c r="T43" s="5"/>
      <c r="U43" s="21"/>
      <c r="V43" s="5"/>
      <c r="W43" s="5"/>
      <c r="X43" s="19" t="str">
        <f aca="false">IF(AND(ISNUMBER(V43),ISNUMBER(W43)),V43*W43,"")</f>
        <v/>
      </c>
      <c r="Y43" s="5"/>
      <c r="Z43" s="21"/>
      <c r="AA43" s="5"/>
    </row>
    <row r="44" customFormat="false" ht="15" hidden="false" customHeight="false" outlineLevel="0" collapsed="false">
      <c r="A44" s="5"/>
      <c r="B44" s="5"/>
      <c r="C44" s="5"/>
      <c r="D44" s="5"/>
      <c r="E44" s="5"/>
      <c r="F44" s="5"/>
      <c r="G44" s="5"/>
      <c r="H44" s="19" t="str">
        <f aca="false">IF(AND(ISNUMBER(F44),ISNUMBER(G44)),F44*G44,"")</f>
        <v/>
      </c>
      <c r="I44" s="6" t="str">
        <f aca="false">IF(H44="","",LOOKUP(H44,Scales!$A$19:$A$22,Scales!$B$19:$B$22))</f>
        <v/>
      </c>
      <c r="J44" s="5"/>
      <c r="K44" s="5"/>
      <c r="L44" s="5"/>
      <c r="M44" s="5"/>
      <c r="N44" s="5"/>
      <c r="O44" s="19" t="str">
        <f aca="false">IF(AND(ISNUMBER(M44),ISNUMBER(N44)),M44*N44,"")</f>
        <v/>
      </c>
      <c r="P44" s="6" t="str">
        <f aca="false">IF(O44="","",LOOKUP(O44,Scales!$A$19:$A$22,Scales!$B$19:$B$22))</f>
        <v/>
      </c>
      <c r="Q44" s="6" t="str">
        <f aca="false">IF(O44="","",IF(O44&lt;=Scales!$C$24,"Within","Outside"))</f>
        <v/>
      </c>
      <c r="R44" s="5"/>
      <c r="S44" s="5"/>
      <c r="T44" s="5"/>
      <c r="U44" s="21"/>
      <c r="V44" s="5"/>
      <c r="W44" s="5"/>
      <c r="X44" s="19" t="str">
        <f aca="false">IF(AND(ISNUMBER(V44),ISNUMBER(W44)),V44*W44,"")</f>
        <v/>
      </c>
      <c r="Y44" s="5"/>
      <c r="Z44" s="21"/>
      <c r="AA44" s="5"/>
    </row>
    <row r="45" customFormat="false" ht="15" hidden="false" customHeight="false" outlineLevel="0" collapsed="false">
      <c r="A45" s="5"/>
      <c r="B45" s="5"/>
      <c r="C45" s="5"/>
      <c r="D45" s="5"/>
      <c r="E45" s="5"/>
      <c r="F45" s="5"/>
      <c r="G45" s="5"/>
      <c r="H45" s="19" t="str">
        <f aca="false">IF(AND(ISNUMBER(F45),ISNUMBER(G45)),F45*G45,"")</f>
        <v/>
      </c>
      <c r="I45" s="6" t="str">
        <f aca="false">IF(H45="","",LOOKUP(H45,Scales!$A$19:$A$22,Scales!$B$19:$B$22))</f>
        <v/>
      </c>
      <c r="J45" s="5"/>
      <c r="K45" s="5"/>
      <c r="L45" s="5"/>
      <c r="M45" s="5"/>
      <c r="N45" s="5"/>
      <c r="O45" s="19" t="str">
        <f aca="false">IF(AND(ISNUMBER(M45),ISNUMBER(N45)),M45*N45,"")</f>
        <v/>
      </c>
      <c r="P45" s="6" t="str">
        <f aca="false">IF(O45="","",LOOKUP(O45,Scales!$A$19:$A$22,Scales!$B$19:$B$22))</f>
        <v/>
      </c>
      <c r="Q45" s="6" t="str">
        <f aca="false">IF(O45="","",IF(O45&lt;=Scales!$C$24,"Within","Outside"))</f>
        <v/>
      </c>
      <c r="R45" s="5"/>
      <c r="S45" s="5"/>
      <c r="T45" s="5"/>
      <c r="U45" s="21"/>
      <c r="V45" s="5"/>
      <c r="W45" s="5"/>
      <c r="X45" s="19" t="str">
        <f aca="false">IF(AND(ISNUMBER(V45),ISNUMBER(W45)),V45*W45,"")</f>
        <v/>
      </c>
      <c r="Y45" s="5"/>
      <c r="Z45" s="21"/>
      <c r="AA45" s="5"/>
    </row>
    <row r="46" customFormat="false" ht="15" hidden="false" customHeight="false" outlineLevel="0" collapsed="false">
      <c r="A46" s="5"/>
      <c r="B46" s="5"/>
      <c r="C46" s="5"/>
      <c r="D46" s="5"/>
      <c r="E46" s="5"/>
      <c r="F46" s="5"/>
      <c r="G46" s="5"/>
      <c r="H46" s="19" t="str">
        <f aca="false">IF(AND(ISNUMBER(F46),ISNUMBER(G46)),F46*G46,"")</f>
        <v/>
      </c>
      <c r="I46" s="6" t="str">
        <f aca="false">IF(H46="","",LOOKUP(H46,Scales!$A$19:$A$22,Scales!$B$19:$B$22))</f>
        <v/>
      </c>
      <c r="J46" s="5"/>
      <c r="K46" s="5"/>
      <c r="L46" s="5"/>
      <c r="M46" s="5"/>
      <c r="N46" s="5"/>
      <c r="O46" s="19" t="str">
        <f aca="false">IF(AND(ISNUMBER(M46),ISNUMBER(N46)),M46*N46,"")</f>
        <v/>
      </c>
      <c r="P46" s="6" t="str">
        <f aca="false">IF(O46="","",LOOKUP(O46,Scales!$A$19:$A$22,Scales!$B$19:$B$22))</f>
        <v/>
      </c>
      <c r="Q46" s="6" t="str">
        <f aca="false">IF(O46="","",IF(O46&lt;=Scales!$C$24,"Within","Outside"))</f>
        <v/>
      </c>
      <c r="R46" s="5"/>
      <c r="S46" s="5"/>
      <c r="T46" s="5"/>
      <c r="U46" s="21"/>
      <c r="V46" s="5"/>
      <c r="W46" s="5"/>
      <c r="X46" s="19" t="str">
        <f aca="false">IF(AND(ISNUMBER(V46),ISNUMBER(W46)),V46*W46,"")</f>
        <v/>
      </c>
      <c r="Y46" s="5"/>
      <c r="Z46" s="21"/>
      <c r="AA46" s="5"/>
    </row>
    <row r="47" customFormat="false" ht="15" hidden="false" customHeight="false" outlineLevel="0" collapsed="false">
      <c r="A47" s="5"/>
      <c r="B47" s="5"/>
      <c r="C47" s="5"/>
      <c r="D47" s="5"/>
      <c r="E47" s="5"/>
      <c r="F47" s="5"/>
      <c r="G47" s="5"/>
      <c r="H47" s="19" t="str">
        <f aca="false">IF(AND(ISNUMBER(F47),ISNUMBER(G47)),F47*G47,"")</f>
        <v/>
      </c>
      <c r="I47" s="6" t="str">
        <f aca="false">IF(H47="","",LOOKUP(H47,Scales!$A$19:$A$22,Scales!$B$19:$B$22))</f>
        <v/>
      </c>
      <c r="J47" s="5"/>
      <c r="K47" s="5"/>
      <c r="L47" s="5"/>
      <c r="M47" s="5"/>
      <c r="N47" s="5"/>
      <c r="O47" s="19" t="str">
        <f aca="false">IF(AND(ISNUMBER(M47),ISNUMBER(N47)),M47*N47,"")</f>
        <v/>
      </c>
      <c r="P47" s="6" t="str">
        <f aca="false">IF(O47="","",LOOKUP(O47,Scales!$A$19:$A$22,Scales!$B$19:$B$22))</f>
        <v/>
      </c>
      <c r="Q47" s="6" t="str">
        <f aca="false">IF(O47="","",IF(O47&lt;=Scales!$C$24,"Within","Outside"))</f>
        <v/>
      </c>
      <c r="R47" s="5"/>
      <c r="S47" s="5"/>
      <c r="T47" s="5"/>
      <c r="U47" s="21"/>
      <c r="V47" s="5"/>
      <c r="W47" s="5"/>
      <c r="X47" s="19" t="str">
        <f aca="false">IF(AND(ISNUMBER(V47),ISNUMBER(W47)),V47*W47,"")</f>
        <v/>
      </c>
      <c r="Y47" s="5"/>
      <c r="Z47" s="21"/>
      <c r="AA47" s="5"/>
    </row>
    <row r="48" customFormat="false" ht="15" hidden="false" customHeight="false" outlineLevel="0" collapsed="false">
      <c r="A48" s="5"/>
      <c r="B48" s="5"/>
      <c r="C48" s="5"/>
      <c r="D48" s="5"/>
      <c r="E48" s="5"/>
      <c r="F48" s="5"/>
      <c r="G48" s="5"/>
      <c r="H48" s="19" t="str">
        <f aca="false">IF(AND(ISNUMBER(F48),ISNUMBER(G48)),F48*G48,"")</f>
        <v/>
      </c>
      <c r="I48" s="6" t="str">
        <f aca="false">IF(H48="","",LOOKUP(H48,Scales!$A$19:$A$22,Scales!$B$19:$B$22))</f>
        <v/>
      </c>
      <c r="J48" s="5"/>
      <c r="K48" s="5"/>
      <c r="L48" s="5"/>
      <c r="M48" s="5"/>
      <c r="N48" s="5"/>
      <c r="O48" s="19" t="str">
        <f aca="false">IF(AND(ISNUMBER(M48),ISNUMBER(N48)),M48*N48,"")</f>
        <v/>
      </c>
      <c r="P48" s="6" t="str">
        <f aca="false">IF(O48="","",LOOKUP(O48,Scales!$A$19:$A$22,Scales!$B$19:$B$22))</f>
        <v/>
      </c>
      <c r="Q48" s="6" t="str">
        <f aca="false">IF(O48="","",IF(O48&lt;=Scales!$C$24,"Within","Outside"))</f>
        <v/>
      </c>
      <c r="R48" s="5"/>
      <c r="S48" s="5"/>
      <c r="T48" s="5"/>
      <c r="U48" s="21"/>
      <c r="V48" s="5"/>
      <c r="W48" s="5"/>
      <c r="X48" s="19" t="str">
        <f aca="false">IF(AND(ISNUMBER(V48),ISNUMBER(W48)),V48*W48,"")</f>
        <v/>
      </c>
      <c r="Y48" s="5"/>
      <c r="Z48" s="21"/>
      <c r="AA48" s="5"/>
    </row>
    <row r="49" customFormat="false" ht="15" hidden="false" customHeight="false" outlineLevel="0" collapsed="false">
      <c r="A49" s="5"/>
      <c r="B49" s="5"/>
      <c r="C49" s="5"/>
      <c r="D49" s="5"/>
      <c r="E49" s="5"/>
      <c r="F49" s="5"/>
      <c r="G49" s="5"/>
      <c r="H49" s="19" t="str">
        <f aca="false">IF(AND(ISNUMBER(F49),ISNUMBER(G49)),F49*G49,"")</f>
        <v/>
      </c>
      <c r="I49" s="6" t="str">
        <f aca="false">IF(H49="","",LOOKUP(H49,Scales!$A$19:$A$22,Scales!$B$19:$B$22))</f>
        <v/>
      </c>
      <c r="J49" s="5"/>
      <c r="K49" s="5"/>
      <c r="L49" s="5"/>
      <c r="M49" s="5"/>
      <c r="N49" s="5"/>
      <c r="O49" s="19" t="str">
        <f aca="false">IF(AND(ISNUMBER(M49),ISNUMBER(N49)),M49*N49,"")</f>
        <v/>
      </c>
      <c r="P49" s="6" t="str">
        <f aca="false">IF(O49="","",LOOKUP(O49,Scales!$A$19:$A$22,Scales!$B$19:$B$22))</f>
        <v/>
      </c>
      <c r="Q49" s="6" t="str">
        <f aca="false">IF(O49="","",IF(O49&lt;=Scales!$C$24,"Within","Outside"))</f>
        <v/>
      </c>
      <c r="R49" s="5"/>
      <c r="S49" s="5"/>
      <c r="T49" s="5"/>
      <c r="U49" s="21"/>
      <c r="V49" s="5"/>
      <c r="W49" s="5"/>
      <c r="X49" s="19" t="str">
        <f aca="false">IF(AND(ISNUMBER(V49),ISNUMBER(W49)),V49*W49,"")</f>
        <v/>
      </c>
      <c r="Y49" s="5"/>
      <c r="Z49" s="21"/>
      <c r="AA49" s="5"/>
    </row>
    <row r="50" customFormat="false" ht="15" hidden="false" customHeight="false" outlineLevel="0" collapsed="false">
      <c r="A50" s="5"/>
      <c r="B50" s="5"/>
      <c r="C50" s="5"/>
      <c r="D50" s="5"/>
      <c r="E50" s="5"/>
      <c r="F50" s="5"/>
      <c r="G50" s="5"/>
      <c r="H50" s="19" t="str">
        <f aca="false">IF(AND(ISNUMBER(F50),ISNUMBER(G50)),F50*G50,"")</f>
        <v/>
      </c>
      <c r="I50" s="6" t="str">
        <f aca="false">IF(H50="","",LOOKUP(H50,Scales!$A$19:$A$22,Scales!$B$19:$B$22))</f>
        <v/>
      </c>
      <c r="J50" s="5"/>
      <c r="K50" s="5"/>
      <c r="L50" s="5"/>
      <c r="M50" s="5"/>
      <c r="N50" s="5"/>
      <c r="O50" s="19" t="str">
        <f aca="false">IF(AND(ISNUMBER(M50),ISNUMBER(N50)),M50*N50,"")</f>
        <v/>
      </c>
      <c r="P50" s="6" t="str">
        <f aca="false">IF(O50="","",LOOKUP(O50,Scales!$A$19:$A$22,Scales!$B$19:$B$22))</f>
        <v/>
      </c>
      <c r="Q50" s="6" t="str">
        <f aca="false">IF(O50="","",IF(O50&lt;=Scales!$C$24,"Within","Outside"))</f>
        <v/>
      </c>
      <c r="R50" s="5"/>
      <c r="S50" s="5"/>
      <c r="T50" s="5"/>
      <c r="U50" s="21"/>
      <c r="V50" s="5"/>
      <c r="W50" s="5"/>
      <c r="X50" s="19" t="str">
        <f aca="false">IF(AND(ISNUMBER(V50),ISNUMBER(W50)),V50*W50,"")</f>
        <v/>
      </c>
      <c r="Y50" s="5"/>
      <c r="Z50" s="21"/>
      <c r="AA50" s="5"/>
    </row>
    <row r="51" customFormat="false" ht="15" hidden="false" customHeight="false" outlineLevel="0" collapsed="false">
      <c r="A51" s="5"/>
      <c r="B51" s="5"/>
      <c r="C51" s="5"/>
      <c r="D51" s="5"/>
      <c r="E51" s="5"/>
      <c r="F51" s="5"/>
      <c r="G51" s="5"/>
      <c r="H51" s="19" t="str">
        <f aca="false">IF(AND(ISNUMBER(F51),ISNUMBER(G51)),F51*G51,"")</f>
        <v/>
      </c>
      <c r="I51" s="6" t="str">
        <f aca="false">IF(H51="","",LOOKUP(H51,Scales!$A$19:$A$22,Scales!$B$19:$B$22))</f>
        <v/>
      </c>
      <c r="J51" s="5"/>
      <c r="K51" s="5"/>
      <c r="L51" s="5"/>
      <c r="M51" s="5"/>
      <c r="N51" s="5"/>
      <c r="O51" s="19" t="str">
        <f aca="false">IF(AND(ISNUMBER(M51),ISNUMBER(N51)),M51*N51,"")</f>
        <v/>
      </c>
      <c r="P51" s="6" t="str">
        <f aca="false">IF(O51="","",LOOKUP(O51,Scales!$A$19:$A$22,Scales!$B$19:$B$22))</f>
        <v/>
      </c>
      <c r="Q51" s="6" t="str">
        <f aca="false">IF(O51="","",IF(O51&lt;=Scales!$C$24,"Within","Outside"))</f>
        <v/>
      </c>
      <c r="R51" s="5"/>
      <c r="S51" s="5"/>
      <c r="T51" s="5"/>
      <c r="U51" s="21"/>
      <c r="V51" s="5"/>
      <c r="W51" s="5"/>
      <c r="X51" s="19" t="str">
        <f aca="false">IF(AND(ISNUMBER(V51),ISNUMBER(W51)),V51*W51,"")</f>
        <v/>
      </c>
      <c r="Y51" s="5"/>
      <c r="Z51" s="21"/>
      <c r="AA51" s="5"/>
    </row>
    <row r="52" customFormat="false" ht="15" hidden="false" customHeight="false" outlineLevel="0" collapsed="false">
      <c r="A52" s="5"/>
      <c r="B52" s="5"/>
      <c r="C52" s="5"/>
      <c r="D52" s="5"/>
      <c r="E52" s="5"/>
      <c r="F52" s="5"/>
      <c r="G52" s="5"/>
      <c r="H52" s="19" t="str">
        <f aca="false">IF(AND(ISNUMBER(F52),ISNUMBER(G52)),F52*G52,"")</f>
        <v/>
      </c>
      <c r="I52" s="6" t="str">
        <f aca="false">IF(H52="","",LOOKUP(H52,Scales!$A$19:$A$22,Scales!$B$19:$B$22))</f>
        <v/>
      </c>
      <c r="J52" s="5"/>
      <c r="K52" s="5"/>
      <c r="L52" s="5"/>
      <c r="M52" s="5"/>
      <c r="N52" s="5"/>
      <c r="O52" s="19" t="str">
        <f aca="false">IF(AND(ISNUMBER(M52),ISNUMBER(N52)),M52*N52,"")</f>
        <v/>
      </c>
      <c r="P52" s="6" t="str">
        <f aca="false">IF(O52="","",LOOKUP(O52,Scales!$A$19:$A$22,Scales!$B$19:$B$22))</f>
        <v/>
      </c>
      <c r="Q52" s="6" t="str">
        <f aca="false">IF(O52="","",IF(O52&lt;=Scales!$C$24,"Within","Outside"))</f>
        <v/>
      </c>
      <c r="R52" s="5"/>
      <c r="S52" s="5"/>
      <c r="T52" s="5"/>
      <c r="U52" s="21"/>
      <c r="V52" s="5"/>
      <c r="W52" s="5"/>
      <c r="X52" s="19" t="str">
        <f aca="false">IF(AND(ISNUMBER(V52),ISNUMBER(W52)),V52*W52,"")</f>
        <v/>
      </c>
      <c r="Y52" s="5"/>
      <c r="Z52" s="21"/>
      <c r="AA52" s="5"/>
    </row>
    <row r="53" customFormat="false" ht="15" hidden="false" customHeight="false" outlineLevel="0" collapsed="false">
      <c r="A53" s="5"/>
      <c r="B53" s="5"/>
      <c r="C53" s="5"/>
      <c r="D53" s="5"/>
      <c r="E53" s="5"/>
      <c r="F53" s="5"/>
      <c r="G53" s="5"/>
      <c r="H53" s="19" t="str">
        <f aca="false">IF(AND(ISNUMBER(F53),ISNUMBER(G53)),F53*G53,"")</f>
        <v/>
      </c>
      <c r="I53" s="6" t="str">
        <f aca="false">IF(H53="","",LOOKUP(H53,Scales!$A$19:$A$22,Scales!$B$19:$B$22))</f>
        <v/>
      </c>
      <c r="J53" s="5"/>
      <c r="K53" s="5"/>
      <c r="L53" s="5"/>
      <c r="M53" s="5"/>
      <c r="N53" s="5"/>
      <c r="O53" s="19" t="str">
        <f aca="false">IF(AND(ISNUMBER(M53),ISNUMBER(N53)),M53*N53,"")</f>
        <v/>
      </c>
      <c r="P53" s="6" t="str">
        <f aca="false">IF(O53="","",LOOKUP(O53,Scales!$A$19:$A$22,Scales!$B$19:$B$22))</f>
        <v/>
      </c>
      <c r="Q53" s="6" t="str">
        <f aca="false">IF(O53="","",IF(O53&lt;=Scales!$C$24,"Within","Outside"))</f>
        <v/>
      </c>
      <c r="R53" s="5"/>
      <c r="S53" s="5"/>
      <c r="T53" s="5"/>
      <c r="U53" s="21"/>
      <c r="V53" s="5"/>
      <c r="W53" s="5"/>
      <c r="X53" s="19" t="str">
        <f aca="false">IF(AND(ISNUMBER(V53),ISNUMBER(W53)),V53*W53,"")</f>
        <v/>
      </c>
      <c r="Y53" s="5"/>
      <c r="Z53" s="21"/>
      <c r="AA53" s="5"/>
    </row>
    <row r="54" customFormat="false" ht="15" hidden="false" customHeight="false" outlineLevel="0" collapsed="false">
      <c r="A54" s="5"/>
      <c r="B54" s="5"/>
      <c r="C54" s="5"/>
      <c r="D54" s="5"/>
      <c r="E54" s="5"/>
      <c r="F54" s="5"/>
      <c r="G54" s="5"/>
      <c r="H54" s="19" t="str">
        <f aca="false">IF(AND(ISNUMBER(F54),ISNUMBER(G54)),F54*G54,"")</f>
        <v/>
      </c>
      <c r="I54" s="6" t="str">
        <f aca="false">IF(H54="","",LOOKUP(H54,Scales!$A$19:$A$22,Scales!$B$19:$B$22))</f>
        <v/>
      </c>
      <c r="J54" s="5"/>
      <c r="K54" s="5"/>
      <c r="L54" s="5"/>
      <c r="M54" s="5"/>
      <c r="N54" s="5"/>
      <c r="O54" s="19" t="str">
        <f aca="false">IF(AND(ISNUMBER(M54),ISNUMBER(N54)),M54*N54,"")</f>
        <v/>
      </c>
      <c r="P54" s="6" t="str">
        <f aca="false">IF(O54="","",LOOKUP(O54,Scales!$A$19:$A$22,Scales!$B$19:$B$22))</f>
        <v/>
      </c>
      <c r="Q54" s="6" t="str">
        <f aca="false">IF(O54="","",IF(O54&lt;=Scales!$C$24,"Within","Outside"))</f>
        <v/>
      </c>
      <c r="R54" s="5"/>
      <c r="S54" s="5"/>
      <c r="T54" s="5"/>
      <c r="U54" s="21"/>
      <c r="V54" s="5"/>
      <c r="W54" s="5"/>
      <c r="X54" s="19" t="str">
        <f aca="false">IF(AND(ISNUMBER(V54),ISNUMBER(W54)),V54*W54,"")</f>
        <v/>
      </c>
      <c r="Y54" s="5"/>
      <c r="Z54" s="21"/>
      <c r="AA54" s="5"/>
    </row>
    <row r="55" customFormat="false" ht="15" hidden="false" customHeight="false" outlineLevel="0" collapsed="false">
      <c r="A55" s="5"/>
      <c r="B55" s="5"/>
      <c r="C55" s="5"/>
      <c r="D55" s="5"/>
      <c r="E55" s="5"/>
      <c r="F55" s="5"/>
      <c r="G55" s="5"/>
      <c r="H55" s="19" t="str">
        <f aca="false">IF(AND(ISNUMBER(F55),ISNUMBER(G55)),F55*G55,"")</f>
        <v/>
      </c>
      <c r="I55" s="6" t="str">
        <f aca="false">IF(H55="","",LOOKUP(H55,Scales!$A$19:$A$22,Scales!$B$19:$B$22))</f>
        <v/>
      </c>
      <c r="J55" s="5"/>
      <c r="K55" s="5"/>
      <c r="L55" s="5"/>
      <c r="M55" s="5"/>
      <c r="N55" s="5"/>
      <c r="O55" s="19" t="str">
        <f aca="false">IF(AND(ISNUMBER(M55),ISNUMBER(N55)),M55*N55,"")</f>
        <v/>
      </c>
      <c r="P55" s="6" t="str">
        <f aca="false">IF(O55="","",LOOKUP(O55,Scales!$A$19:$A$22,Scales!$B$19:$B$22))</f>
        <v/>
      </c>
      <c r="Q55" s="6" t="str">
        <f aca="false">IF(O55="","",IF(O55&lt;=Scales!$C$24,"Within","Outside"))</f>
        <v/>
      </c>
      <c r="R55" s="5"/>
      <c r="S55" s="5"/>
      <c r="T55" s="5"/>
      <c r="U55" s="21"/>
      <c r="V55" s="5"/>
      <c r="W55" s="5"/>
      <c r="X55" s="19" t="str">
        <f aca="false">IF(AND(ISNUMBER(V55),ISNUMBER(W55)),V55*W55,"")</f>
        <v/>
      </c>
      <c r="Y55" s="5"/>
      <c r="Z55" s="21"/>
      <c r="AA55" s="5"/>
    </row>
    <row r="56" customFormat="false" ht="15" hidden="false" customHeight="false" outlineLevel="0" collapsed="false">
      <c r="A56" s="5"/>
      <c r="B56" s="5"/>
      <c r="C56" s="5"/>
      <c r="D56" s="5"/>
      <c r="E56" s="5"/>
      <c r="F56" s="5"/>
      <c r="G56" s="5"/>
      <c r="H56" s="19" t="str">
        <f aca="false">IF(AND(ISNUMBER(F56),ISNUMBER(G56)),F56*G56,"")</f>
        <v/>
      </c>
      <c r="I56" s="6" t="str">
        <f aca="false">IF(H56="","",LOOKUP(H56,Scales!$A$19:$A$22,Scales!$B$19:$B$22))</f>
        <v/>
      </c>
      <c r="J56" s="5"/>
      <c r="K56" s="5"/>
      <c r="L56" s="5"/>
      <c r="M56" s="5"/>
      <c r="N56" s="5"/>
      <c r="O56" s="19" t="str">
        <f aca="false">IF(AND(ISNUMBER(M56),ISNUMBER(N56)),M56*N56,"")</f>
        <v/>
      </c>
      <c r="P56" s="6" t="str">
        <f aca="false">IF(O56="","",LOOKUP(O56,Scales!$A$19:$A$22,Scales!$B$19:$B$22))</f>
        <v/>
      </c>
      <c r="Q56" s="6" t="str">
        <f aca="false">IF(O56="","",IF(O56&lt;=Scales!$C$24,"Within","Outside"))</f>
        <v/>
      </c>
      <c r="R56" s="5"/>
      <c r="S56" s="5"/>
      <c r="T56" s="5"/>
      <c r="U56" s="21"/>
      <c r="V56" s="5"/>
      <c r="W56" s="5"/>
      <c r="X56" s="19" t="str">
        <f aca="false">IF(AND(ISNUMBER(V56),ISNUMBER(W56)),V56*W56,"")</f>
        <v/>
      </c>
      <c r="Y56" s="5"/>
      <c r="Z56" s="21"/>
      <c r="AA56" s="5"/>
    </row>
    <row r="57" customFormat="false" ht="15" hidden="false" customHeight="false" outlineLevel="0" collapsed="false">
      <c r="A57" s="5"/>
      <c r="B57" s="5"/>
      <c r="C57" s="5"/>
      <c r="D57" s="5"/>
      <c r="E57" s="5"/>
      <c r="F57" s="5"/>
      <c r="G57" s="5"/>
      <c r="H57" s="19" t="str">
        <f aca="false">IF(AND(ISNUMBER(F57),ISNUMBER(G57)),F57*G57,"")</f>
        <v/>
      </c>
      <c r="I57" s="6" t="str">
        <f aca="false">IF(H57="","",LOOKUP(H57,Scales!$A$19:$A$22,Scales!$B$19:$B$22))</f>
        <v/>
      </c>
      <c r="J57" s="5"/>
      <c r="K57" s="5"/>
      <c r="L57" s="5"/>
      <c r="M57" s="5"/>
      <c r="N57" s="5"/>
      <c r="O57" s="19" t="str">
        <f aca="false">IF(AND(ISNUMBER(M57),ISNUMBER(N57)),M57*N57,"")</f>
        <v/>
      </c>
      <c r="P57" s="6" t="str">
        <f aca="false">IF(O57="","",LOOKUP(O57,Scales!$A$19:$A$22,Scales!$B$19:$B$22))</f>
        <v/>
      </c>
      <c r="Q57" s="6" t="str">
        <f aca="false">IF(O57="","",IF(O57&lt;=Scales!$C$24,"Within","Outside"))</f>
        <v/>
      </c>
      <c r="R57" s="5"/>
      <c r="S57" s="5"/>
      <c r="T57" s="5"/>
      <c r="U57" s="21"/>
      <c r="V57" s="5"/>
      <c r="W57" s="5"/>
      <c r="X57" s="19" t="str">
        <f aca="false">IF(AND(ISNUMBER(V57),ISNUMBER(W57)),V57*W57,"")</f>
        <v/>
      </c>
      <c r="Y57" s="5"/>
      <c r="Z57" s="21"/>
      <c r="AA57" s="5"/>
    </row>
    <row r="58" customFormat="false" ht="15" hidden="false" customHeight="false" outlineLevel="0" collapsed="false">
      <c r="A58" s="5"/>
      <c r="B58" s="5"/>
      <c r="C58" s="5"/>
      <c r="D58" s="5"/>
      <c r="E58" s="5"/>
      <c r="F58" s="5"/>
      <c r="G58" s="5"/>
      <c r="H58" s="19" t="str">
        <f aca="false">IF(AND(ISNUMBER(F58),ISNUMBER(G58)),F58*G58,"")</f>
        <v/>
      </c>
      <c r="I58" s="6" t="str">
        <f aca="false">IF(H58="","",LOOKUP(H58,Scales!$A$19:$A$22,Scales!$B$19:$B$22))</f>
        <v/>
      </c>
      <c r="J58" s="5"/>
      <c r="K58" s="5"/>
      <c r="L58" s="5"/>
      <c r="M58" s="5"/>
      <c r="N58" s="5"/>
      <c r="O58" s="19" t="str">
        <f aca="false">IF(AND(ISNUMBER(M58),ISNUMBER(N58)),M58*N58,"")</f>
        <v/>
      </c>
      <c r="P58" s="6" t="str">
        <f aca="false">IF(O58="","",LOOKUP(O58,Scales!$A$19:$A$22,Scales!$B$19:$B$22))</f>
        <v/>
      </c>
      <c r="Q58" s="6" t="str">
        <f aca="false">IF(O58="","",IF(O58&lt;=Scales!$C$24,"Within","Outside"))</f>
        <v/>
      </c>
      <c r="R58" s="5"/>
      <c r="S58" s="5"/>
      <c r="T58" s="5"/>
      <c r="U58" s="21"/>
      <c r="V58" s="5"/>
      <c r="W58" s="5"/>
      <c r="X58" s="19" t="str">
        <f aca="false">IF(AND(ISNUMBER(V58),ISNUMBER(W58)),V58*W58,"")</f>
        <v/>
      </c>
      <c r="Y58" s="5"/>
      <c r="Z58" s="21"/>
      <c r="AA58" s="5"/>
    </row>
    <row r="59" customFormat="false" ht="15" hidden="false" customHeight="false" outlineLevel="0" collapsed="false">
      <c r="A59" s="5"/>
      <c r="B59" s="5"/>
      <c r="C59" s="5"/>
      <c r="D59" s="5"/>
      <c r="E59" s="5"/>
      <c r="F59" s="5"/>
      <c r="G59" s="5"/>
      <c r="H59" s="19" t="str">
        <f aca="false">IF(AND(ISNUMBER(F59),ISNUMBER(G59)),F59*G59,"")</f>
        <v/>
      </c>
      <c r="I59" s="6" t="str">
        <f aca="false">IF(H59="","",LOOKUP(H59,Scales!$A$19:$A$22,Scales!$B$19:$B$22))</f>
        <v/>
      </c>
      <c r="J59" s="5"/>
      <c r="K59" s="5"/>
      <c r="L59" s="5"/>
      <c r="M59" s="5"/>
      <c r="N59" s="5"/>
      <c r="O59" s="19" t="str">
        <f aca="false">IF(AND(ISNUMBER(M59),ISNUMBER(N59)),M59*N59,"")</f>
        <v/>
      </c>
      <c r="P59" s="6" t="str">
        <f aca="false">IF(O59="","",LOOKUP(O59,Scales!$A$19:$A$22,Scales!$B$19:$B$22))</f>
        <v/>
      </c>
      <c r="Q59" s="6" t="str">
        <f aca="false">IF(O59="","",IF(O59&lt;=Scales!$C$24,"Within","Outside"))</f>
        <v/>
      </c>
      <c r="R59" s="5"/>
      <c r="S59" s="5"/>
      <c r="T59" s="5"/>
      <c r="U59" s="21"/>
      <c r="V59" s="5"/>
      <c r="W59" s="5"/>
      <c r="X59" s="19" t="str">
        <f aca="false">IF(AND(ISNUMBER(V59),ISNUMBER(W59)),V59*W59,"")</f>
        <v/>
      </c>
      <c r="Y59" s="5"/>
      <c r="Z59" s="21"/>
      <c r="AA59" s="5"/>
    </row>
    <row r="60" customFormat="false" ht="15" hidden="false" customHeight="false" outlineLevel="0" collapsed="false">
      <c r="A60" s="5"/>
      <c r="B60" s="5"/>
      <c r="C60" s="5"/>
      <c r="D60" s="5"/>
      <c r="E60" s="5"/>
      <c r="F60" s="5"/>
      <c r="G60" s="5"/>
      <c r="H60" s="19" t="str">
        <f aca="false">IF(AND(ISNUMBER(F60),ISNUMBER(G60)),F60*G60,"")</f>
        <v/>
      </c>
      <c r="I60" s="6" t="str">
        <f aca="false">IF(H60="","",LOOKUP(H60,Scales!$A$19:$A$22,Scales!$B$19:$B$22))</f>
        <v/>
      </c>
      <c r="J60" s="5"/>
      <c r="K60" s="5"/>
      <c r="L60" s="5"/>
      <c r="M60" s="5"/>
      <c r="N60" s="5"/>
      <c r="O60" s="19" t="str">
        <f aca="false">IF(AND(ISNUMBER(M60),ISNUMBER(N60)),M60*N60,"")</f>
        <v/>
      </c>
      <c r="P60" s="6" t="str">
        <f aca="false">IF(O60="","",LOOKUP(O60,Scales!$A$19:$A$22,Scales!$B$19:$B$22))</f>
        <v/>
      </c>
      <c r="Q60" s="6" t="str">
        <f aca="false">IF(O60="","",IF(O60&lt;=Scales!$C$24,"Within","Outside"))</f>
        <v/>
      </c>
      <c r="R60" s="5"/>
      <c r="S60" s="5"/>
      <c r="T60" s="5"/>
      <c r="U60" s="21"/>
      <c r="V60" s="5"/>
      <c r="W60" s="5"/>
      <c r="X60" s="19" t="str">
        <f aca="false">IF(AND(ISNUMBER(V60),ISNUMBER(W60)),V60*W60,"")</f>
        <v/>
      </c>
      <c r="Y60" s="5"/>
      <c r="Z60" s="21"/>
      <c r="AA60" s="5"/>
    </row>
    <row r="61" customFormat="false" ht="15" hidden="false" customHeight="false" outlineLevel="0" collapsed="false">
      <c r="A61" s="5"/>
      <c r="B61" s="5"/>
      <c r="C61" s="5"/>
      <c r="D61" s="5"/>
      <c r="E61" s="5"/>
      <c r="F61" s="5"/>
      <c r="G61" s="5"/>
      <c r="H61" s="19" t="str">
        <f aca="false">IF(AND(ISNUMBER(F61),ISNUMBER(G61)),F61*G61,"")</f>
        <v/>
      </c>
      <c r="I61" s="6" t="str">
        <f aca="false">IF(H61="","",LOOKUP(H61,Scales!$A$19:$A$22,Scales!$B$19:$B$22))</f>
        <v/>
      </c>
      <c r="J61" s="5"/>
      <c r="K61" s="5"/>
      <c r="L61" s="5"/>
      <c r="M61" s="5"/>
      <c r="N61" s="5"/>
      <c r="O61" s="19" t="str">
        <f aca="false">IF(AND(ISNUMBER(M61),ISNUMBER(N61)),M61*N61,"")</f>
        <v/>
      </c>
      <c r="P61" s="6" t="str">
        <f aca="false">IF(O61="","",LOOKUP(O61,Scales!$A$19:$A$22,Scales!$B$19:$B$22))</f>
        <v/>
      </c>
      <c r="Q61" s="6" t="str">
        <f aca="false">IF(O61="","",IF(O61&lt;=Scales!$C$24,"Within","Outside"))</f>
        <v/>
      </c>
      <c r="R61" s="5"/>
      <c r="S61" s="5"/>
      <c r="T61" s="5"/>
      <c r="U61" s="21"/>
      <c r="V61" s="5"/>
      <c r="W61" s="5"/>
      <c r="X61" s="19" t="str">
        <f aca="false">IF(AND(ISNUMBER(V61),ISNUMBER(W61)),V61*W61,"")</f>
        <v/>
      </c>
      <c r="Y61" s="5"/>
      <c r="Z61" s="21"/>
      <c r="AA61" s="5"/>
    </row>
    <row r="62" customFormat="false" ht="15" hidden="false" customHeight="false" outlineLevel="0" collapsed="false">
      <c r="A62" s="5"/>
      <c r="B62" s="5"/>
      <c r="C62" s="5"/>
      <c r="D62" s="5"/>
      <c r="E62" s="5"/>
      <c r="F62" s="5"/>
      <c r="G62" s="5"/>
      <c r="H62" s="19" t="str">
        <f aca="false">IF(AND(ISNUMBER(F62),ISNUMBER(G62)),F62*G62,"")</f>
        <v/>
      </c>
      <c r="I62" s="6" t="str">
        <f aca="false">IF(H62="","",LOOKUP(H62,Scales!$A$19:$A$22,Scales!$B$19:$B$22))</f>
        <v/>
      </c>
      <c r="J62" s="5"/>
      <c r="K62" s="5"/>
      <c r="L62" s="5"/>
      <c r="M62" s="5"/>
      <c r="N62" s="5"/>
      <c r="O62" s="19" t="str">
        <f aca="false">IF(AND(ISNUMBER(M62),ISNUMBER(N62)),M62*N62,"")</f>
        <v/>
      </c>
      <c r="P62" s="6" t="str">
        <f aca="false">IF(O62="","",LOOKUP(O62,Scales!$A$19:$A$22,Scales!$B$19:$B$22))</f>
        <v/>
      </c>
      <c r="Q62" s="6" t="str">
        <f aca="false">IF(O62="","",IF(O62&lt;=Scales!$C$24,"Within","Outside"))</f>
        <v/>
      </c>
      <c r="R62" s="5"/>
      <c r="S62" s="5"/>
      <c r="T62" s="5"/>
      <c r="U62" s="21"/>
      <c r="V62" s="5"/>
      <c r="W62" s="5"/>
      <c r="X62" s="19" t="str">
        <f aca="false">IF(AND(ISNUMBER(V62),ISNUMBER(W62)),V62*W62,"")</f>
        <v/>
      </c>
      <c r="Y62" s="5"/>
      <c r="Z62" s="21"/>
      <c r="AA62" s="5"/>
    </row>
    <row r="63" customFormat="false" ht="15" hidden="false" customHeight="false" outlineLevel="0" collapsed="false">
      <c r="A63" s="5"/>
      <c r="B63" s="5"/>
      <c r="C63" s="5"/>
      <c r="D63" s="5"/>
      <c r="E63" s="5"/>
      <c r="F63" s="5"/>
      <c r="G63" s="5"/>
      <c r="H63" s="19" t="str">
        <f aca="false">IF(AND(ISNUMBER(F63),ISNUMBER(G63)),F63*G63,"")</f>
        <v/>
      </c>
      <c r="I63" s="6" t="str">
        <f aca="false">IF(H63="","",LOOKUP(H63,Scales!$A$19:$A$22,Scales!$B$19:$B$22))</f>
        <v/>
      </c>
      <c r="J63" s="5"/>
      <c r="K63" s="5"/>
      <c r="L63" s="5"/>
      <c r="M63" s="5"/>
      <c r="N63" s="5"/>
      <c r="O63" s="19" t="str">
        <f aca="false">IF(AND(ISNUMBER(M63),ISNUMBER(N63)),M63*N63,"")</f>
        <v/>
      </c>
      <c r="P63" s="6" t="str">
        <f aca="false">IF(O63="","",LOOKUP(O63,Scales!$A$19:$A$22,Scales!$B$19:$B$22))</f>
        <v/>
      </c>
      <c r="Q63" s="6" t="str">
        <f aca="false">IF(O63="","",IF(O63&lt;=Scales!$C$24,"Within","Outside"))</f>
        <v/>
      </c>
      <c r="R63" s="5"/>
      <c r="S63" s="5"/>
      <c r="T63" s="5"/>
      <c r="U63" s="21"/>
      <c r="V63" s="5"/>
      <c r="W63" s="5"/>
      <c r="X63" s="19" t="str">
        <f aca="false">IF(AND(ISNUMBER(V63),ISNUMBER(W63)),V63*W63,"")</f>
        <v/>
      </c>
      <c r="Y63" s="5"/>
      <c r="Z63" s="21"/>
      <c r="AA63" s="5"/>
    </row>
    <row r="64" customFormat="false" ht="15" hidden="false" customHeight="false" outlineLevel="0" collapsed="false">
      <c r="A64" s="5"/>
      <c r="B64" s="5"/>
      <c r="C64" s="5"/>
      <c r="D64" s="5"/>
      <c r="E64" s="5"/>
      <c r="F64" s="5"/>
      <c r="G64" s="5"/>
      <c r="H64" s="19" t="str">
        <f aca="false">IF(AND(ISNUMBER(F64),ISNUMBER(G64)),F64*G64,"")</f>
        <v/>
      </c>
      <c r="I64" s="6" t="str">
        <f aca="false">IF(H64="","",LOOKUP(H64,Scales!$A$19:$A$22,Scales!$B$19:$B$22))</f>
        <v/>
      </c>
      <c r="J64" s="5"/>
      <c r="K64" s="5"/>
      <c r="L64" s="5"/>
      <c r="M64" s="5"/>
      <c r="N64" s="5"/>
      <c r="O64" s="19" t="str">
        <f aca="false">IF(AND(ISNUMBER(M64),ISNUMBER(N64)),M64*N64,"")</f>
        <v/>
      </c>
      <c r="P64" s="6" t="str">
        <f aca="false">IF(O64="","",LOOKUP(O64,Scales!$A$19:$A$22,Scales!$B$19:$B$22))</f>
        <v/>
      </c>
      <c r="Q64" s="6" t="str">
        <f aca="false">IF(O64="","",IF(O64&lt;=Scales!$C$24,"Within","Outside"))</f>
        <v/>
      </c>
      <c r="R64" s="5"/>
      <c r="S64" s="5"/>
      <c r="T64" s="5"/>
      <c r="U64" s="21"/>
      <c r="V64" s="5"/>
      <c r="W64" s="5"/>
      <c r="X64" s="19" t="str">
        <f aca="false">IF(AND(ISNUMBER(V64),ISNUMBER(W64)),V64*W64,"")</f>
        <v/>
      </c>
      <c r="Y64" s="5"/>
      <c r="Z64" s="21"/>
      <c r="AA64" s="5"/>
    </row>
  </sheetData>
  <autoFilter ref="A4:AA64"/>
  <conditionalFormatting sqref="I5:I64">
    <cfRule type="expression" priority="2" aboveAverage="0" equalAverage="0" bottom="0" percent="0" rank="0" text="" dxfId="8">
      <formula>I5="Low"</formula>
    </cfRule>
    <cfRule type="expression" priority="3" aboveAverage="0" equalAverage="0" bottom="0" percent="0" rank="0" text="" dxfId="9">
      <formula>I5="Medium"</formula>
    </cfRule>
    <cfRule type="expression" priority="4" aboveAverage="0" equalAverage="0" bottom="0" percent="0" rank="0" text="" dxfId="10">
      <formula>I5="High"</formula>
    </cfRule>
    <cfRule type="expression" priority="5" aboveAverage="0" equalAverage="0" bottom="0" percent="0" rank="0" text="" dxfId="11">
      <formula>I5="Extreme"</formula>
    </cfRule>
  </conditionalFormatting>
  <conditionalFormatting sqref="P5:P64">
    <cfRule type="expression" priority="6" aboveAverage="0" equalAverage="0" bottom="0" percent="0" rank="0" text="" dxfId="8">
      <formula>P5="Low"</formula>
    </cfRule>
    <cfRule type="expression" priority="7" aboveAverage="0" equalAverage="0" bottom="0" percent="0" rank="0" text="" dxfId="9">
      <formula>P5="Medium"</formula>
    </cfRule>
    <cfRule type="expression" priority="8" aboveAverage="0" equalAverage="0" bottom="0" percent="0" rank="0" text="" dxfId="10">
      <formula>P5="High"</formula>
    </cfRule>
    <cfRule type="expression" priority="9" aboveAverage="0" equalAverage="0" bottom="0" percent="0" rank="0" text="" dxfId="11">
      <formula>P5="Extreme"</formula>
    </cfRule>
  </conditionalFormatting>
  <conditionalFormatting sqref="Q5:Q64">
    <cfRule type="expression" priority="10" aboveAverage="0" equalAverage="0" bottom="0" percent="0" rank="0" text="" dxfId="12">
      <formula>Q5="Outside"</formula>
    </cfRule>
  </conditionalFormatting>
  <dataValidations count="6">
    <dataValidation allowBlank="true" error="Enter a whole number from 1 to 5 (see the Scales tab)." errorStyle="stop" operator="between" prompt="Enter a whole number from 1 to 5 (see the Scales tab)." showDropDown="false" showErrorMessage="true" showInputMessage="true" sqref="F5:G64 M5:N64 V5:W64" type="whole">
      <formula1>1</formula1>
      <formula2>5</formula2>
    </dataValidation>
    <dataValidation allowBlank="true" error="Please choose a value from the drop-down list." errorStyle="stop" operator="between" showDropDown="false" showErrorMessage="true" showInputMessage="false" sqref="D5:D64" type="list">
      <formula1>Scales!$H$5:$H$16</formula1>
      <formula2>0</formula2>
    </dataValidation>
    <dataValidation allowBlank="true" error="Please choose a value from the drop-down list." errorStyle="stop" operator="between" showDropDown="false" showErrorMessage="true" showInputMessage="false" sqref="K5:K64" type="list">
      <formula1>Scales!$I$5:$I$8</formula1>
      <formula2>0</formula2>
    </dataValidation>
    <dataValidation allowBlank="true" error="Please choose a value from the drop-down list." errorStyle="stop" operator="between" showDropDown="false" showErrorMessage="true" showInputMessage="false" sqref="L5:L64" type="list">
      <formula1>Scales!$A$27:$A$30</formula1>
      <formula2>0</formula2>
    </dataValidation>
    <dataValidation allowBlank="true" error="Please choose a value from the drop-down list." errorStyle="stop" operator="between" showDropDown="false" showErrorMessage="true" showInputMessage="false" sqref="R5:R64" type="list">
      <formula1>Scales!$J$5:$J$8</formula1>
      <formula2>0</formula2>
    </dataValidation>
    <dataValidation allowBlank="true" error="Please choose a value from the drop-down list." errorStyle="stop" operator="between" showDropDown="false" showErrorMessage="true" showInputMessage="false" sqref="Y5:Y64" type="list">
      <formula1>Scales!$K$5:$K$9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6" min="2" style="0" width="15"/>
    <col collapsed="false" customWidth="true" hidden="false" outlineLevel="0" max="8" min="8" style="0" width="20"/>
    <col collapsed="false" customWidth="true" hidden="false" outlineLevel="0" max="9" min="9" style="0" width="10"/>
  </cols>
  <sheetData>
    <row r="1" customFormat="false" ht="25.5" hidden="false" customHeight="true" outlineLevel="0" collapsed="false">
      <c r="A1" s="1" t="s">
        <v>149</v>
      </c>
    </row>
    <row r="2" customFormat="false" ht="15" hidden="false" customHeight="false" outlineLevel="0" collapsed="false">
      <c r="A2" s="2" t="s">
        <v>150</v>
      </c>
    </row>
    <row r="4" customFormat="false" ht="15" hidden="false" customHeight="false" outlineLevel="0" collapsed="false">
      <c r="A4" s="22" t="s">
        <v>151</v>
      </c>
    </row>
    <row r="5" customFormat="false" ht="33.75" hidden="false" customHeight="true" outlineLevel="0" collapsed="false">
      <c r="A5" s="23" t="s">
        <v>152</v>
      </c>
      <c r="B5" s="24" t="n">
        <f aca="false">COUNTIFS('Risk assessment'!$M$5:$M$64,5,'Risk assessment'!$N$5:$N$64,1)</f>
        <v>0</v>
      </c>
      <c r="C5" s="25" t="n">
        <f aca="false">COUNTIFS('Risk assessment'!$M$5:$M$64,5,'Risk assessment'!$N$5:$N$64,2)</f>
        <v>0</v>
      </c>
      <c r="D5" s="26" t="n">
        <f aca="false">COUNTIFS('Risk assessment'!$M$5:$M$64,5,'Risk assessment'!$N$5:$N$64,3)</f>
        <v>0</v>
      </c>
      <c r="E5" s="26" t="n">
        <f aca="false">COUNTIFS('Risk assessment'!$M$5:$M$64,5,'Risk assessment'!$N$5:$N$64,4)</f>
        <v>0</v>
      </c>
      <c r="F5" s="26" t="n">
        <f aca="false">COUNTIFS('Risk assessment'!$M$5:$M$64,5,'Risk assessment'!$N$5:$N$64,5)</f>
        <v>0</v>
      </c>
      <c r="H5" s="22" t="s">
        <v>153</v>
      </c>
    </row>
    <row r="6" customFormat="false" ht="33.75" hidden="false" customHeight="true" outlineLevel="0" collapsed="false">
      <c r="A6" s="23" t="s">
        <v>154</v>
      </c>
      <c r="B6" s="27" t="n">
        <f aca="false">COUNTIFS('Risk assessment'!$M$5:$M$64,4,'Risk assessment'!$N$5:$N$64,1)</f>
        <v>0</v>
      </c>
      <c r="C6" s="24" t="n">
        <f aca="false">COUNTIFS('Risk assessment'!$M$5:$M$64,4,'Risk assessment'!$N$5:$N$64,2)</f>
        <v>0</v>
      </c>
      <c r="D6" s="25" t="n">
        <f aca="false">COUNTIFS('Risk assessment'!$M$5:$M$64,4,'Risk assessment'!$N$5:$N$64,3)</f>
        <v>0</v>
      </c>
      <c r="E6" s="26" t="n">
        <f aca="false">COUNTIFS('Risk assessment'!$M$5:$M$64,4,'Risk assessment'!$N$5:$N$64,4)</f>
        <v>0</v>
      </c>
      <c r="F6" s="26" t="n">
        <f aca="false">COUNTIFS('Risk assessment'!$M$5:$M$64,4,'Risk assessment'!$N$5:$N$64,5)</f>
        <v>0</v>
      </c>
      <c r="H6" s="18" t="s">
        <v>155</v>
      </c>
      <c r="I6" s="28" t="n">
        <f aca="false">COUNTA('Risk assessment'!$B$5:$B$64)</f>
        <v>1</v>
      </c>
    </row>
    <row r="7" customFormat="false" ht="33.75" hidden="false" customHeight="true" outlineLevel="0" collapsed="false">
      <c r="A7" s="23" t="s">
        <v>156</v>
      </c>
      <c r="B7" s="27" t="n">
        <f aca="false">COUNTIFS('Risk assessment'!$M$5:$M$64,3,'Risk assessment'!$N$5:$N$64,1)</f>
        <v>0</v>
      </c>
      <c r="C7" s="24" t="n">
        <f aca="false">COUNTIFS('Risk assessment'!$M$5:$M$64,3,'Risk assessment'!$N$5:$N$64,2)</f>
        <v>0</v>
      </c>
      <c r="D7" s="24" t="n">
        <f aca="false">COUNTIFS('Risk assessment'!$M$5:$M$64,3,'Risk assessment'!$N$5:$N$64,3)</f>
        <v>0</v>
      </c>
      <c r="E7" s="25" t="n">
        <f aca="false">COUNTIFS('Risk assessment'!$M$5:$M$64,3,'Risk assessment'!$N$5:$N$64,4)</f>
        <v>0</v>
      </c>
      <c r="F7" s="26" t="n">
        <f aca="false">COUNTIFS('Risk assessment'!$M$5:$M$64,3,'Risk assessment'!$N$5:$N$64,5)</f>
        <v>0</v>
      </c>
      <c r="H7" s="18" t="s">
        <v>157</v>
      </c>
      <c r="I7" s="28" t="n">
        <f aca="false">COUNTIF('Risk assessment'!$P$5:$P$64,"Extreme")</f>
        <v>0</v>
      </c>
    </row>
    <row r="8" customFormat="false" ht="33.75" hidden="false" customHeight="true" outlineLevel="0" collapsed="false">
      <c r="A8" s="23" t="s">
        <v>158</v>
      </c>
      <c r="B8" s="27" t="n">
        <f aca="false">COUNTIFS('Risk assessment'!$M$5:$M$64,2,'Risk assessment'!$N$5:$N$64,1)</f>
        <v>0</v>
      </c>
      <c r="C8" s="27" t="n">
        <f aca="false">COUNTIFS('Risk assessment'!$M$5:$M$64,2,'Risk assessment'!$N$5:$N$64,2)</f>
        <v>0</v>
      </c>
      <c r="D8" s="24" t="n">
        <f aca="false">COUNTIFS('Risk assessment'!$M$5:$M$64,2,'Risk assessment'!$N$5:$N$64,3)</f>
        <v>1</v>
      </c>
      <c r="E8" s="24" t="n">
        <f aca="false">COUNTIFS('Risk assessment'!$M$5:$M$64,2,'Risk assessment'!$N$5:$N$64,4)</f>
        <v>0</v>
      </c>
      <c r="F8" s="25" t="n">
        <f aca="false">COUNTIFS('Risk assessment'!$M$5:$M$64,2,'Risk assessment'!$N$5:$N$64,5)</f>
        <v>0</v>
      </c>
      <c r="H8" s="18" t="s">
        <v>159</v>
      </c>
      <c r="I8" s="28" t="n">
        <f aca="false">COUNTIF('Risk assessment'!$P$5:$P$64,"High")</f>
        <v>0</v>
      </c>
    </row>
    <row r="9" customFormat="false" ht="33.75" hidden="false" customHeight="true" outlineLevel="0" collapsed="false">
      <c r="A9" s="23" t="s">
        <v>160</v>
      </c>
      <c r="B9" s="27" t="n">
        <f aca="false">COUNTIFS('Risk assessment'!$M$5:$M$64,1,'Risk assessment'!$N$5:$N$64,1)</f>
        <v>0</v>
      </c>
      <c r="C9" s="27" t="n">
        <f aca="false">COUNTIFS('Risk assessment'!$M$5:$M$64,1,'Risk assessment'!$N$5:$N$64,2)</f>
        <v>0</v>
      </c>
      <c r="D9" s="27" t="n">
        <f aca="false">COUNTIFS('Risk assessment'!$M$5:$M$64,1,'Risk assessment'!$N$5:$N$64,3)</f>
        <v>0</v>
      </c>
      <c r="E9" s="27" t="n">
        <f aca="false">COUNTIFS('Risk assessment'!$M$5:$M$64,1,'Risk assessment'!$N$5:$N$64,4)</f>
        <v>0</v>
      </c>
      <c r="F9" s="24" t="n">
        <f aca="false">COUNTIFS('Risk assessment'!$M$5:$M$64,1,'Risk assessment'!$N$5:$N$64,5)</f>
        <v>0</v>
      </c>
      <c r="H9" s="18" t="s">
        <v>161</v>
      </c>
      <c r="I9" s="28" t="n">
        <f aca="false">COUNTIF('Risk assessment'!$P$5:$P$64,"Medium")</f>
        <v>1</v>
      </c>
    </row>
    <row r="10" customFormat="false" ht="15" hidden="false" customHeight="false" outlineLevel="0" collapsed="false">
      <c r="B10" s="29" t="s">
        <v>162</v>
      </c>
      <c r="C10" s="29" t="s">
        <v>163</v>
      </c>
      <c r="D10" s="29" t="s">
        <v>164</v>
      </c>
      <c r="E10" s="29" t="s">
        <v>165</v>
      </c>
      <c r="F10" s="29" t="s">
        <v>166</v>
      </c>
      <c r="H10" s="18" t="s">
        <v>167</v>
      </c>
      <c r="I10" s="28" t="n">
        <f aca="false">COUNTIF('Risk assessment'!$P$5:$P$64,"Low")</f>
        <v>0</v>
      </c>
    </row>
    <row r="11" customFormat="false" ht="15" hidden="false" customHeight="false" outlineLevel="0" collapsed="false">
      <c r="B11" s="8" t="s">
        <v>168</v>
      </c>
      <c r="H11" s="18" t="s">
        <v>169</v>
      </c>
      <c r="I11" s="28" t="n">
        <f aca="false">COUNTIF('Risk assessment'!$Q$5:$Q$64,"Outside")</f>
        <v>0</v>
      </c>
    </row>
    <row r="14" customFormat="false" ht="15" hidden="false" customHeight="false" outlineLevel="0" collapsed="false">
      <c r="A14" s="22" t="s">
        <v>170</v>
      </c>
    </row>
    <row r="15" customFormat="false" ht="33.75" hidden="false" customHeight="true" outlineLevel="0" collapsed="false">
      <c r="A15" s="23" t="s">
        <v>152</v>
      </c>
      <c r="B15" s="24" t="n">
        <f aca="false">COUNTIFS('Risk assessment'!$F$5:$F$64,5,'Risk assessment'!$G$5:$G$64,1)</f>
        <v>0</v>
      </c>
      <c r="C15" s="25" t="n">
        <f aca="false">COUNTIFS('Risk assessment'!$F$5:$F$64,5,'Risk assessment'!$G$5:$G$64,2)</f>
        <v>0</v>
      </c>
      <c r="D15" s="26" t="n">
        <f aca="false">COUNTIFS('Risk assessment'!$F$5:$F$64,5,'Risk assessment'!$G$5:$G$64,3)</f>
        <v>0</v>
      </c>
      <c r="E15" s="26" t="n">
        <f aca="false">COUNTIFS('Risk assessment'!$F$5:$F$64,5,'Risk assessment'!$G$5:$G$64,4)</f>
        <v>0</v>
      </c>
      <c r="F15" s="26" t="n">
        <f aca="false">COUNTIFS('Risk assessment'!$F$5:$F$64,5,'Risk assessment'!$G$5:$G$64,5)</f>
        <v>0</v>
      </c>
    </row>
    <row r="16" customFormat="false" ht="33.75" hidden="false" customHeight="true" outlineLevel="0" collapsed="false">
      <c r="A16" s="23" t="s">
        <v>154</v>
      </c>
      <c r="B16" s="27" t="n">
        <f aca="false">COUNTIFS('Risk assessment'!$F$5:$F$64,4,'Risk assessment'!$G$5:$G$64,1)</f>
        <v>0</v>
      </c>
      <c r="C16" s="24" t="n">
        <f aca="false">COUNTIFS('Risk assessment'!$F$5:$F$64,4,'Risk assessment'!$G$5:$G$64,2)</f>
        <v>0</v>
      </c>
      <c r="D16" s="25" t="n">
        <f aca="false">COUNTIFS('Risk assessment'!$F$5:$F$64,4,'Risk assessment'!$G$5:$G$64,3)</f>
        <v>1</v>
      </c>
      <c r="E16" s="26" t="n">
        <f aca="false">COUNTIFS('Risk assessment'!$F$5:$F$64,4,'Risk assessment'!$G$5:$G$64,4)</f>
        <v>0</v>
      </c>
      <c r="F16" s="26" t="n">
        <f aca="false">COUNTIFS('Risk assessment'!$F$5:$F$64,4,'Risk assessment'!$G$5:$G$64,5)</f>
        <v>0</v>
      </c>
    </row>
    <row r="17" customFormat="false" ht="33.75" hidden="false" customHeight="true" outlineLevel="0" collapsed="false">
      <c r="A17" s="23" t="s">
        <v>156</v>
      </c>
      <c r="B17" s="27" t="n">
        <f aca="false">COUNTIFS('Risk assessment'!$F$5:$F$64,3,'Risk assessment'!$G$5:$G$64,1)</f>
        <v>0</v>
      </c>
      <c r="C17" s="24" t="n">
        <f aca="false">COUNTIFS('Risk assessment'!$F$5:$F$64,3,'Risk assessment'!$G$5:$G$64,2)</f>
        <v>0</v>
      </c>
      <c r="D17" s="24" t="n">
        <f aca="false">COUNTIFS('Risk assessment'!$F$5:$F$64,3,'Risk assessment'!$G$5:$G$64,3)</f>
        <v>0</v>
      </c>
      <c r="E17" s="25" t="n">
        <f aca="false">COUNTIFS('Risk assessment'!$F$5:$F$64,3,'Risk assessment'!$G$5:$G$64,4)</f>
        <v>0</v>
      </c>
      <c r="F17" s="26" t="n">
        <f aca="false">COUNTIFS('Risk assessment'!$F$5:$F$64,3,'Risk assessment'!$G$5:$G$64,5)</f>
        <v>0</v>
      </c>
    </row>
    <row r="18" customFormat="false" ht="33.75" hidden="false" customHeight="true" outlineLevel="0" collapsed="false">
      <c r="A18" s="23" t="s">
        <v>158</v>
      </c>
      <c r="B18" s="27" t="n">
        <f aca="false">COUNTIFS('Risk assessment'!$F$5:$F$64,2,'Risk assessment'!$G$5:$G$64,1)</f>
        <v>0</v>
      </c>
      <c r="C18" s="27" t="n">
        <f aca="false">COUNTIFS('Risk assessment'!$F$5:$F$64,2,'Risk assessment'!$G$5:$G$64,2)</f>
        <v>0</v>
      </c>
      <c r="D18" s="24" t="n">
        <f aca="false">COUNTIFS('Risk assessment'!$F$5:$F$64,2,'Risk assessment'!$G$5:$G$64,3)</f>
        <v>0</v>
      </c>
      <c r="E18" s="24" t="n">
        <f aca="false">COUNTIFS('Risk assessment'!$F$5:$F$64,2,'Risk assessment'!$G$5:$G$64,4)</f>
        <v>0</v>
      </c>
      <c r="F18" s="25" t="n">
        <f aca="false">COUNTIFS('Risk assessment'!$F$5:$F$64,2,'Risk assessment'!$G$5:$G$64,5)</f>
        <v>0</v>
      </c>
    </row>
    <row r="19" customFormat="false" ht="33.75" hidden="false" customHeight="true" outlineLevel="0" collapsed="false">
      <c r="A19" s="23" t="s">
        <v>160</v>
      </c>
      <c r="B19" s="27" t="n">
        <f aca="false">COUNTIFS('Risk assessment'!$F$5:$F$64,1,'Risk assessment'!$G$5:$G$64,1)</f>
        <v>0</v>
      </c>
      <c r="C19" s="27" t="n">
        <f aca="false">COUNTIFS('Risk assessment'!$F$5:$F$64,1,'Risk assessment'!$G$5:$G$64,2)</f>
        <v>0</v>
      </c>
      <c r="D19" s="27" t="n">
        <f aca="false">COUNTIFS('Risk assessment'!$F$5:$F$64,1,'Risk assessment'!$G$5:$G$64,3)</f>
        <v>0</v>
      </c>
      <c r="E19" s="27" t="n">
        <f aca="false">COUNTIFS('Risk assessment'!$F$5:$F$64,1,'Risk assessment'!$G$5:$G$64,4)</f>
        <v>0</v>
      </c>
      <c r="F19" s="24" t="n">
        <f aca="false">COUNTIFS('Risk assessment'!$F$5:$F$64,1,'Risk assessment'!$G$5:$G$64,5)</f>
        <v>0</v>
      </c>
    </row>
    <row r="20" customFormat="false" ht="15" hidden="false" customHeight="false" outlineLevel="0" collapsed="false">
      <c r="B20" s="29" t="s">
        <v>162</v>
      </c>
      <c r="C20" s="29" t="s">
        <v>163</v>
      </c>
      <c r="D20" s="29" t="s">
        <v>164</v>
      </c>
      <c r="E20" s="29" t="s">
        <v>165</v>
      </c>
      <c r="F20" s="29" t="s">
        <v>166</v>
      </c>
    </row>
    <row r="21" customFormat="false" ht="15" hidden="false" customHeight="false" outlineLevel="0" collapsed="false">
      <c r="B21" s="8" t="s">
        <v>168</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2026-09-27T06:37:49Z</dcterms:created>
  <dc:creator>openpyxl</dc:creator>
  <dc:description/>
  <dc:language>en-US</dc:language>
  <cp:lastModifiedBy/>
  <dcterms:modified xsi:type="dcterms:W3CDTF">2026-09-27T06:37:49Z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