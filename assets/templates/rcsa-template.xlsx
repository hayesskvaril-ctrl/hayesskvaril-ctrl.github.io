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RCSA" sheetId="2" state="visible" r:id="rId4"/>
    <sheet name="Dashboard" sheetId="3" state="visible" r:id="rId5"/>
    <sheet name="Lists" sheetId="4" state="visible" r:id="rId6"/>
  </sheets>
  <definedNames>
    <definedName function="false" hidden="true" localSheetId="1" name="_xlnm._FilterDatabase" vbProcedure="false">RCSA!$A$4:$Y$84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<sst xmlns="http://schemas.openxmlformats.org/spreadsheetml/2006/main" count="118" uniqueCount="95">
  <si>
    <t xml:space="preserve">Risk and control self-assessment (RCSA) template</t>
  </si>
  <si>
    <t xml:space="preserve">RiskLens Australia · free template · version 1.0 (September 2026)</t>
  </si>
  <si>
    <t xml:space="preserve">What this is</t>
  </si>
  <si>
    <t xml:space="preserve">A template for business units to assess their key risks and controls, rate inherent and residual risk, and agree actions, with second-line challenge recorded. Background: https://hayesskvaril-ctrl.github.io/risk-management/risk-assessment-methodologies.html and https://hayesskvaril-ctrl.github.io/risk-management/control-design-and-testing.html</t>
  </si>
  <si>
    <t xml:space="preserve">How to use it</t>
  </si>
  <si>
    <t xml:space="preserve">1. List each key risk as cause, event and consequence.
2. Rate inherent likelihood and consequence (1 to 5), before controls.
3. List key controls and rate their design and operating effectiveness. The overall control rating takes the weaker of the two.
4. Rate residual likelihood and consequence, after controls.
5. Record whether the residual risk is within appetite, the actions needed and second-line challenge.</t>
  </si>
  <si>
    <t xml:space="preserve">Ratings</t>
  </si>
  <si>
    <t xml:space="preserve">Score = likelihood x consequence (1 to 25). Bands: 1 to 4 Low, 5 to 9 Medium, 10 to 14 High, 15 to 25 Extreme, the same as the RiskLens risk assessment template. Change the formulas if your organisation uses different bands.</t>
  </si>
  <si>
    <t xml:space="preserve">Good practice</t>
  </si>
  <si>
    <t xml:space="preserve">Self-assessments are only as good as the challenge they receive. Record the second line's challenge and any changes it led to, and test key controls rather than relying on self-assessed effectiveness.</t>
  </si>
  <si>
    <t xml:space="preserve">Colour key</t>
  </si>
  <si>
    <t xml:space="preserve">Pale yellow cells: fill these in (many have drop-down lists).
Grey-blue cells: calculated automatically; don't type over them.
Green rows: worked examples. Replace or delete them.</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</si>
  <si>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</si>
  <si>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</si>
  <si>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</si>
  <si>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</si>
  <si>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</si>
  <si>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RCSA</t>
  </si>
  <si>
    <t xml:space="preserve">Fill in the yellow cells. Grey-blue cells calculate automatically.</t>
  </si>
  <si>
    <t xml:space="preserve">Risk ID</t>
  </si>
  <si>
    <t xml:space="preserve">Process or business unit</t>
  </si>
  <si>
    <t xml:space="preserve">Risk description (cause, event, consequence)</t>
  </si>
  <si>
    <t xml:space="preserve">Risk category</t>
  </si>
  <si>
    <t xml:space="preserve">Risk owner</t>
  </si>
  <si>
    <t xml:space="preserve">Inherent likelihood (1-5)</t>
  </si>
  <si>
    <t xml:space="preserve">Inherent consequence (1-5)</t>
  </si>
  <si>
    <t xml:space="preserve">Inherent score</t>
  </si>
  <si>
    <t xml:space="preserve">Inherent rating</t>
  </si>
  <si>
    <t xml:space="preserve">Key controls</t>
  </si>
  <si>
    <t xml:space="preserve">Control type</t>
  </si>
  <si>
    <t xml:space="preserve">Control owner</t>
  </si>
  <si>
    <t xml:space="preserve">Design effectiveness</t>
  </si>
  <si>
    <t xml:space="preserve">Operating effectiveness</t>
  </si>
  <si>
    <t xml:space="preserve">Overall control rating</t>
  </si>
  <si>
    <t xml:space="preserve">Residual likelihood (1-5)</t>
  </si>
  <si>
    <t xml:space="preserve">Residual consequence (1-5)</t>
  </si>
  <si>
    <t xml:space="preserve">Residual score</t>
  </si>
  <si>
    <t xml:space="preserve">Residual rating</t>
  </si>
  <si>
    <t xml:space="preserve">Within appetite?</t>
  </si>
  <si>
    <t xml:space="preserve">Actions required</t>
  </si>
  <si>
    <t xml:space="preserve">Action owner</t>
  </si>
  <si>
    <t xml:space="preserve">Action due date</t>
  </si>
  <si>
    <t xml:space="preserve">Second-line challenge</t>
  </si>
  <si>
    <t xml:space="preserve">Assessment date</t>
  </si>
  <si>
    <t xml:space="preserve">R-01</t>
  </si>
  <si>
    <t xml:space="preserve">Benefit payments</t>
  </si>
  <si>
    <t xml:space="preserve">Cause: manual keying of bank details. Event: payment made to the wrong account. Consequence: member loss, remediation, complaints and possible fraud.</t>
  </si>
  <si>
    <t xml:space="preserve">Operational</t>
  </si>
  <si>
    <t xml:space="preserve">Head of Member Services</t>
  </si>
  <si>
    <t xml:space="preserve">Call-back verification of changed bank details; four-eyes approval over $10,000; daily exception report</t>
  </si>
  <si>
    <t xml:space="preserve">Preventive</t>
  </si>
  <si>
    <t xml:space="preserve">Payments Team Leader</t>
  </si>
  <si>
    <t xml:space="preserve">Effective</t>
  </si>
  <si>
    <t xml:space="preserve">Partially effective</t>
  </si>
  <si>
    <t xml:space="preserve">No</t>
  </si>
  <si>
    <t xml:space="preserve">Automate bank detail verification; retrain staff on call-back procedure</t>
  </si>
  <si>
    <t xml:space="preserve">Operational Risk challenged the operating rating after three call-back exceptions in Q2 testing; residual likelihood raised from 2 to 3.</t>
  </si>
  <si>
    <t xml:space="preserve">R-02</t>
  </si>
  <si>
    <t xml:space="preserve">Member communications</t>
  </si>
  <si>
    <t xml:space="preserve">Cause: marketing content not reviewed by Compliance. Event: misleading statement about returns. Consequence: breach of s 1041H, deemed significant breach, remediation.</t>
  </si>
  <si>
    <t xml:space="preserve">Compliance</t>
  </si>
  <si>
    <t xml:space="preserve">Head of Marketing</t>
  </si>
  <si>
    <t xml:space="preserve">Mandatory compliance sign-off in the content workflow; data feed checks for performance figures</t>
  </si>
  <si>
    <t xml:space="preserve">Compliance Manager</t>
  </si>
  <si>
    <t xml:space="preserve">Yes</t>
  </si>
  <si>
    <t xml:space="preserve">Compliance confirmed via sample of 25 campaigns; no exceptions.</t>
  </si>
  <si>
    <t xml:space="preserve">Dashboard</t>
  </si>
  <si>
    <t xml:space="preserve">Updates automatically from the register.</t>
  </si>
  <si>
    <t xml:space="preserve">Measure</t>
  </si>
  <si>
    <t xml:space="preserve">Value</t>
  </si>
  <si>
    <t xml:space="preserve">Risks assessed</t>
  </si>
  <si>
    <t xml:space="preserve">Residual Extreme</t>
  </si>
  <si>
    <t xml:space="preserve">Residual High</t>
  </si>
  <si>
    <t xml:space="preserve">Outside appetite</t>
  </si>
  <si>
    <t xml:space="preserve">Controls rated ineffective</t>
  </si>
  <si>
    <t xml:space="preserve">Controls not tested</t>
  </si>
  <si>
    <t xml:space="preserve">Risks by category</t>
  </si>
  <si>
    <t xml:space="preserve">Count</t>
  </si>
  <si>
    <t xml:space="preserve">Conduct</t>
  </si>
  <si>
    <t xml:space="preserve">Technology and cyber</t>
  </si>
  <si>
    <t xml:space="preserve">Third party</t>
  </si>
  <si>
    <t xml:space="preserve">People</t>
  </si>
  <si>
    <t xml:space="preserve">Financial</t>
  </si>
  <si>
    <t xml:space="preserve">Strategic</t>
  </si>
  <si>
    <t xml:space="preserve">Investment</t>
  </si>
  <si>
    <t xml:space="preserve">Reputational</t>
  </si>
  <si>
    <t xml:space="preserve">Drop-down lists</t>
  </si>
  <si>
    <t xml:space="preserve">Edit these values to suit your organisation. The drop-downs read from this tab.</t>
  </si>
  <si>
    <t xml:space="preserve">1 to 5</t>
  </si>
  <si>
    <t xml:space="preserve">Effectiveness</t>
  </si>
  <si>
    <t xml:space="preserve">Yes / No</t>
  </si>
  <si>
    <t xml:space="preserve">Detective</t>
  </si>
  <si>
    <t xml:space="preserve">Ineffective</t>
  </si>
  <si>
    <t xml:space="preserve">Corrective</t>
  </si>
  <si>
    <t xml:space="preserve">Not tested</t>
  </si>
</sst>
</file>

<file path=xl/styles.xml><?xml version="1.0" encoding="utf-8"?>
<styleSheet xmlns="http://schemas.openxmlformats.org/spreadsheetml/2006/main">
  <numFmts count="3">
    <numFmt numFmtId="164" formatCode="General"/>
    <numFmt numFmtId="165" formatCode="dd/mm/yyyy"/>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7"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EF2F7"/>
          <bgColor rgb="FF000000"/>
        </patternFill>
      </fill>
    </dxf>
    <dxf>
      <fill>
        <patternFill patternType="solid">
          <fgColor rgb="FFFCA5A5"/>
          <bgColor rgb="FF000000"/>
        </patternFill>
      </fill>
    </dxf>
    <dxf>
      <fill>
        <patternFill patternType="solid">
          <fgColor rgb="FFFDBA74"/>
          <bgColor rgb="FF000000"/>
        </patternFill>
      </fill>
    </dxf>
    <dxf>
      <fill>
        <patternFill patternType="solid">
          <fgColor rgb="FFBFE5CB"/>
          <bgColor rgb="FF000000"/>
        </patternFill>
      </fill>
    </dxf>
    <dxf>
      <fill>
        <patternFill patternType="solid">
          <fgColor rgb="FFFDE68A"/>
          <bgColor rgb="FF000000"/>
        </patternFill>
      </fill>
    </dxf>
    <dxf>
      <fill>
        <patternFill>
          <bgColor rgb="FFBFE5CB"/>
        </patternFill>
      </fill>
    </dxf>
    <dxf>
      <fill>
        <patternFill>
          <bgColor rgb="FFFDE68A"/>
        </patternFill>
      </fill>
    </dxf>
    <dxf>
      <fill>
        <patternFill>
          <bgColor rgb="FFFDBA74"/>
        </patternFill>
      </fill>
    </dxf>
    <dxf>
      <fill>
        <patternFill>
          <bgColor rgb="FFFCA5A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DBA74"/>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135" hidden="false" customHeight="true" outlineLevel="0" collapsed="false">
      <c r="A5" s="3" t="s">
        <v>4</v>
      </c>
      <c r="B5" s="4" t="s">
        <v>5</v>
      </c>
    </row>
    <row r="6" customFormat="false" ht="45" hidden="false" customHeight="true" outlineLevel="0" collapsed="false">
      <c r="A6" s="3" t="s">
        <v>6</v>
      </c>
      <c r="B6" s="4" t="s">
        <v>7</v>
      </c>
    </row>
    <row r="7" customFormat="false" ht="45" hidden="false" customHeight="true" outlineLevel="0" collapsed="false">
      <c r="A7" s="3" t="s">
        <v>8</v>
      </c>
      <c r="B7" s="4" t="s">
        <v>9</v>
      </c>
    </row>
    <row r="8" customFormat="false" ht="60" hidden="false" customHeight="true" outlineLevel="0" collapsed="false">
      <c r="A8" s="3" t="s">
        <v>10</v>
      </c>
      <c r="B8" s="4" t="s">
        <v>11</v>
      </c>
    </row>
    <row r="9" customFormat="false" ht="45" hidden="false" customHeight="true" outlineLevel="0" collapsed="false">
      <c r="A9" s="3" t="s">
        <v>12</v>
      </c>
      <c r="B9" s="4" t="s">
        <v>13</v>
      </c>
    </row>
    <row r="11" customFormat="false" ht="15" hidden="false" customHeight="false" outlineLevel="0" collapsed="false">
      <c r="A11" s="5" t="s">
        <v>14</v>
      </c>
    </row>
    <row r="12" customFormat="false" ht="15" hidden="false" customHeight="false" outlineLevel="0" collapsed="false">
      <c r="A12" s="6" t="s">
        <v>15</v>
      </c>
    </row>
    <row r="13" customFormat="false" ht="15" hidden="false" customHeight="false" outlineLevel="0" collapsed="false">
      <c r="A13" s="7" t="s">
        <v>16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44"/>
    <col collapsed="false" customWidth="true" hidden="false" outlineLevel="0" max="5" min="4" style="0" width="16"/>
    <col collapsed="false" customWidth="true" hidden="false" outlineLevel="0" max="7" min="6" style="0" width="11"/>
    <col collapsed="false" customWidth="true" hidden="false" outlineLevel="0" max="8" min="8" style="0" width="9"/>
    <col collapsed="false" customWidth="true" hidden="false" outlineLevel="0" max="9" min="9" style="0" width="11"/>
    <col collapsed="false" customWidth="true" hidden="false" outlineLevel="0" max="10" min="10" style="0" width="36"/>
    <col collapsed="false" customWidth="true" hidden="false" outlineLevel="0" max="11" min="11" style="0" width="12"/>
    <col collapsed="false" customWidth="true" hidden="false" outlineLevel="0" max="12" min="12" style="0" width="16"/>
    <col collapsed="false" customWidth="true" hidden="false" outlineLevel="0" max="15" min="13" style="0" width="14"/>
    <col collapsed="false" customWidth="true" hidden="false" outlineLevel="0" max="17" min="16" style="0" width="11"/>
    <col collapsed="false" customWidth="true" hidden="false" outlineLevel="0" max="18" min="18" style="0" width="9"/>
    <col collapsed="false" customWidth="true" hidden="false" outlineLevel="0" max="19" min="19" style="0" width="11"/>
    <col collapsed="false" customWidth="true" hidden="false" outlineLevel="0" max="20" min="20" style="0" width="10"/>
    <col collapsed="false" customWidth="true" hidden="false" outlineLevel="0" max="21" min="21" style="0" width="30"/>
    <col collapsed="false" customWidth="true" hidden="false" outlineLevel="0" max="22" min="22" style="0" width="14"/>
    <col collapsed="false" customWidth="true" hidden="false" outlineLevel="0" max="23" min="23" style="0" width="12"/>
    <col collapsed="false" customWidth="true" hidden="false" outlineLevel="0" max="24" min="24" style="0" width="30"/>
    <col collapsed="false" customWidth="true" hidden="false" outlineLevel="0" max="25" min="25" style="0" width="12"/>
  </cols>
  <sheetData>
    <row r="1" customFormat="false" ht="25.5" hidden="false" customHeight="true" outlineLevel="0" collapsed="false">
      <c r="A1" s="1" t="s">
        <v>17</v>
      </c>
    </row>
    <row r="2" customFormat="false" ht="15" hidden="false" customHeight="false" outlineLevel="0" collapsed="false">
      <c r="A2" s="2" t="s">
        <v>18</v>
      </c>
    </row>
    <row r="4" customFormat="false" ht="43.5" hidden="false" customHeight="true" outlineLevel="0" collapsed="false">
      <c r="A4" s="8" t="s">
        <v>19</v>
      </c>
      <c r="B4" s="8" t="s">
        <v>20</v>
      </c>
      <c r="C4" s="8" t="s">
        <v>21</v>
      </c>
      <c r="D4" s="8" t="s">
        <v>22</v>
      </c>
      <c r="E4" s="8" t="s">
        <v>23</v>
      </c>
      <c r="F4" s="8" t="s">
        <v>24</v>
      </c>
      <c r="G4" s="8" t="s">
        <v>25</v>
      </c>
      <c r="H4" s="8" t="s">
        <v>26</v>
      </c>
      <c r="I4" s="8" t="s">
        <v>27</v>
      </c>
      <c r="J4" s="8" t="s">
        <v>28</v>
      </c>
      <c r="K4" s="8" t="s">
        <v>29</v>
      </c>
      <c r="L4" s="8" t="s">
        <v>30</v>
      </c>
      <c r="M4" s="8" t="s">
        <v>31</v>
      </c>
      <c r="N4" s="8" t="s">
        <v>32</v>
      </c>
      <c r="O4" s="8" t="s">
        <v>33</v>
      </c>
      <c r="P4" s="8" t="s">
        <v>34</v>
      </c>
      <c r="Q4" s="8" t="s">
        <v>35</v>
      </c>
      <c r="R4" s="8" t="s">
        <v>36</v>
      </c>
      <c r="S4" s="8" t="s">
        <v>37</v>
      </c>
      <c r="T4" s="8" t="s">
        <v>38</v>
      </c>
      <c r="U4" s="8" t="s">
        <v>39</v>
      </c>
      <c r="V4" s="8" t="s">
        <v>40</v>
      </c>
      <c r="W4" s="8" t="s">
        <v>41</v>
      </c>
      <c r="X4" s="8" t="s">
        <v>42</v>
      </c>
      <c r="Y4" s="8" t="s">
        <v>43</v>
      </c>
    </row>
    <row r="5" customFormat="false" ht="35.05" hidden="false" customHeight="false" outlineLevel="0" collapsed="false">
      <c r="A5" s="7" t="s">
        <v>44</v>
      </c>
      <c r="B5" s="7" t="s">
        <v>45</v>
      </c>
      <c r="C5" s="7" t="s">
        <v>46</v>
      </c>
      <c r="D5" s="7" t="s">
        <v>47</v>
      </c>
      <c r="E5" s="7" t="s">
        <v>48</v>
      </c>
      <c r="F5" s="7" t="n">
        <v>4</v>
      </c>
      <c r="G5" s="7" t="n">
        <v>4</v>
      </c>
      <c r="H5" s="6" t="n">
        <f aca="false">IF(OR(F5="",G5=""),"",F5*G5)</f>
        <v>16</v>
      </c>
      <c r="I5" s="6" t="str">
        <f aca="false">IF(H5="","",IF(H5&gt;=15,"Extreme",IF(H5&gt;=10,"High",IF(H5&gt;=5,"Medium","Low"))))</f>
        <v>Extreme</v>
      </c>
      <c r="J5" s="7" t="s">
        <v>49</v>
      </c>
      <c r="K5" s="7" t="s">
        <v>50</v>
      </c>
      <c r="L5" s="7" t="s">
        <v>51</v>
      </c>
      <c r="M5" s="7" t="s">
        <v>52</v>
      </c>
      <c r="N5" s="7" t="s">
        <v>53</v>
      </c>
      <c r="O5" s="6" t="str">
        <f aca="false">IF(OR(M5="",N5=""),"",IF(OR(M5="Ineffective",N5="Ineffective"),"Ineffective",IF(OR(M5="Not tested",N5="Not tested"),"Not tested",IF(OR(M5="Partially effective",N5="Partially effective"),"Partially effective","Effective"))))</f>
        <v>Partially effective</v>
      </c>
      <c r="P5" s="7" t="n">
        <v>3</v>
      </c>
      <c r="Q5" s="7" t="n">
        <v>3</v>
      </c>
      <c r="R5" s="6" t="n">
        <f aca="false">IF(OR(P5="",Q5=""),"",P5*Q5)</f>
        <v>9</v>
      </c>
      <c r="S5" s="6" t="str">
        <f aca="false">IF(R5="","",IF(R5&gt;=15,"Extreme",IF(R5&gt;=10,"High",IF(R5&gt;=5,"Medium","Low"))))</f>
        <v>Medium</v>
      </c>
      <c r="T5" s="7" t="s">
        <v>54</v>
      </c>
      <c r="U5" s="7" t="s">
        <v>55</v>
      </c>
      <c r="V5" s="7" t="s">
        <v>48</v>
      </c>
      <c r="W5" s="9" t="n">
        <v>46387</v>
      </c>
      <c r="X5" s="7" t="s">
        <v>56</v>
      </c>
      <c r="Y5" s="9" t="n">
        <v>46266</v>
      </c>
    </row>
    <row r="6" customFormat="false" ht="35.05" hidden="false" customHeight="false" outlineLevel="0" collapsed="false">
      <c r="A6" s="7" t="s">
        <v>57</v>
      </c>
      <c r="B6" s="7" t="s">
        <v>58</v>
      </c>
      <c r="C6" s="7" t="s">
        <v>59</v>
      </c>
      <c r="D6" s="7" t="s">
        <v>60</v>
      </c>
      <c r="E6" s="7" t="s">
        <v>61</v>
      </c>
      <c r="F6" s="7" t="n">
        <v>3</v>
      </c>
      <c r="G6" s="7" t="n">
        <v>4</v>
      </c>
      <c r="H6" s="6" t="n">
        <f aca="false">IF(OR(F6="",G6=""),"",F6*G6)</f>
        <v>12</v>
      </c>
      <c r="I6" s="6" t="str">
        <f aca="false">IF(H6="","",IF(H6&gt;=15,"Extreme",IF(H6&gt;=10,"High",IF(H6&gt;=5,"Medium","Low"))))</f>
        <v>High</v>
      </c>
      <c r="J6" s="7" t="s">
        <v>62</v>
      </c>
      <c r="K6" s="7" t="s">
        <v>50</v>
      </c>
      <c r="L6" s="7" t="s">
        <v>63</v>
      </c>
      <c r="M6" s="7" t="s">
        <v>52</v>
      </c>
      <c r="N6" s="7" t="s">
        <v>52</v>
      </c>
      <c r="O6" s="6" t="str">
        <f aca="false">IF(OR(M6="",N6=""),"",IF(OR(M6="Ineffective",N6="Ineffective"),"Ineffective",IF(OR(M6="Not tested",N6="Not tested"),"Not tested",IF(OR(M6="Partially effective",N6="Partially effective"),"Partially effective","Effective"))))</f>
        <v>Effective</v>
      </c>
      <c r="P6" s="7" t="n">
        <v>1</v>
      </c>
      <c r="Q6" s="7" t="n">
        <v>4</v>
      </c>
      <c r="R6" s="6" t="n">
        <f aca="false">IF(OR(P6="",Q6=""),"",P6*Q6)</f>
        <v>4</v>
      </c>
      <c r="S6" s="6" t="str">
        <f aca="false">IF(R6="","",IF(R6&gt;=15,"Extreme",IF(R6&gt;=10,"High",IF(R6&gt;=5,"Medium","Low"))))</f>
        <v>Low</v>
      </c>
      <c r="T6" s="7" t="s">
        <v>64</v>
      </c>
      <c r="U6" s="7"/>
      <c r="V6" s="7"/>
      <c r="W6" s="9"/>
      <c r="X6" s="7" t="s">
        <v>65</v>
      </c>
      <c r="Y6" s="9" t="n">
        <v>46266</v>
      </c>
    </row>
    <row r="7" customFormat="false" ht="15" hidden="false" customHeight="false" outlineLevel="0" collapsed="false">
      <c r="A7" s="5"/>
      <c r="B7" s="5"/>
      <c r="C7" s="5"/>
      <c r="D7" s="5"/>
      <c r="E7" s="5"/>
      <c r="F7" s="5"/>
      <c r="G7" s="5"/>
      <c r="H7" s="6" t="str">
        <f aca="false">IF(OR(F7="",G7=""),"",F7*G7)</f>
        <v/>
      </c>
      <c r="I7" s="6" t="str">
        <f aca="false">IF(H7="","",IF(H7&gt;=15,"Extreme",IF(H7&gt;=10,"High",IF(H7&gt;=5,"Medium","Low"))))</f>
        <v/>
      </c>
      <c r="J7" s="5"/>
      <c r="K7" s="5"/>
      <c r="L7" s="5"/>
      <c r="M7" s="5"/>
      <c r="N7" s="5"/>
      <c r="O7" s="6" t="str">
        <f aca="false">IF(OR(M7="",N7=""),"",IF(OR(M7="Ineffective",N7="Ineffective"),"Ineffective",IF(OR(M7="Not tested",N7="Not tested"),"Not tested",IF(OR(M7="Partially effective",N7="Partially effective"),"Partially effective","Effective"))))</f>
        <v/>
      </c>
      <c r="P7" s="5"/>
      <c r="Q7" s="5"/>
      <c r="R7" s="6" t="str">
        <f aca="false">IF(OR(P7="",Q7=""),"",P7*Q7)</f>
        <v/>
      </c>
      <c r="S7" s="6" t="str">
        <f aca="false">IF(R7="","",IF(R7&gt;=15,"Extreme",IF(R7&gt;=10,"High",IF(R7&gt;=5,"Medium","Low"))))</f>
        <v/>
      </c>
      <c r="T7" s="5"/>
      <c r="U7" s="5"/>
      <c r="V7" s="5"/>
      <c r="W7" s="10"/>
      <c r="X7" s="5"/>
      <c r="Y7" s="10"/>
    </row>
    <row r="8" customFormat="false" ht="15" hidden="false" customHeight="false" outlineLevel="0" collapsed="false">
      <c r="A8" s="5"/>
      <c r="B8" s="5"/>
      <c r="C8" s="5"/>
      <c r="D8" s="5"/>
      <c r="E8" s="5"/>
      <c r="F8" s="5"/>
      <c r="G8" s="5"/>
      <c r="H8" s="6" t="str">
        <f aca="false">IF(OR(F8="",G8=""),"",F8*G8)</f>
        <v/>
      </c>
      <c r="I8" s="6" t="str">
        <f aca="false">IF(H8="","",IF(H8&gt;=15,"Extreme",IF(H8&gt;=10,"High",IF(H8&gt;=5,"Medium","Low"))))</f>
        <v/>
      </c>
      <c r="J8" s="5"/>
      <c r="K8" s="5"/>
      <c r="L8" s="5"/>
      <c r="M8" s="5"/>
      <c r="N8" s="5"/>
      <c r="O8" s="6" t="str">
        <f aca="false">IF(OR(M8="",N8=""),"",IF(OR(M8="Ineffective",N8="Ineffective"),"Ineffective",IF(OR(M8="Not tested",N8="Not tested"),"Not tested",IF(OR(M8="Partially effective",N8="Partially effective"),"Partially effective","Effective"))))</f>
        <v/>
      </c>
      <c r="P8" s="5"/>
      <c r="Q8" s="5"/>
      <c r="R8" s="6" t="str">
        <f aca="false">IF(OR(P8="",Q8=""),"",P8*Q8)</f>
        <v/>
      </c>
      <c r="S8" s="6" t="str">
        <f aca="false">IF(R8="","",IF(R8&gt;=15,"Extreme",IF(R8&gt;=10,"High",IF(R8&gt;=5,"Medium","Low"))))</f>
        <v/>
      </c>
      <c r="T8" s="5"/>
      <c r="U8" s="5"/>
      <c r="V8" s="5"/>
      <c r="W8" s="10"/>
      <c r="X8" s="5"/>
      <c r="Y8" s="10"/>
    </row>
    <row r="9" customFormat="false" ht="15" hidden="false" customHeight="false" outlineLevel="0" collapsed="false">
      <c r="A9" s="5"/>
      <c r="B9" s="5"/>
      <c r="C9" s="5"/>
      <c r="D9" s="5"/>
      <c r="E9" s="5"/>
      <c r="F9" s="5"/>
      <c r="G9" s="5"/>
      <c r="H9" s="6" t="str">
        <f aca="false">IF(OR(F9="",G9=""),"",F9*G9)</f>
        <v/>
      </c>
      <c r="I9" s="6" t="str">
        <f aca="false">IF(H9="","",IF(H9&gt;=15,"Extreme",IF(H9&gt;=10,"High",IF(H9&gt;=5,"Medium","Low"))))</f>
        <v/>
      </c>
      <c r="J9" s="5"/>
      <c r="K9" s="5"/>
      <c r="L9" s="5"/>
      <c r="M9" s="5"/>
      <c r="N9" s="5"/>
      <c r="O9" s="6" t="str">
        <f aca="false">IF(OR(M9="",N9=""),"",IF(OR(M9="Ineffective",N9="Ineffective"),"Ineffective",IF(OR(M9="Not tested",N9="Not tested"),"Not tested",IF(OR(M9="Partially effective",N9="Partially effective"),"Partially effective","Effective"))))</f>
        <v/>
      </c>
      <c r="P9" s="5"/>
      <c r="Q9" s="5"/>
      <c r="R9" s="6" t="str">
        <f aca="false">IF(OR(P9="",Q9=""),"",P9*Q9)</f>
        <v/>
      </c>
      <c r="S9" s="6" t="str">
        <f aca="false">IF(R9="","",IF(R9&gt;=15,"Extreme",IF(R9&gt;=10,"High",IF(R9&gt;=5,"Medium","Low"))))</f>
        <v/>
      </c>
      <c r="T9" s="5"/>
      <c r="U9" s="5"/>
      <c r="V9" s="5"/>
      <c r="W9" s="10"/>
      <c r="X9" s="5"/>
      <c r="Y9" s="10"/>
    </row>
    <row r="10" customFormat="false" ht="15" hidden="false" customHeight="false" outlineLevel="0" collapsed="false">
      <c r="A10" s="5"/>
      <c r="B10" s="5"/>
      <c r="C10" s="5"/>
      <c r="D10" s="5"/>
      <c r="E10" s="5"/>
      <c r="F10" s="5"/>
      <c r="G10" s="5"/>
      <c r="H10" s="6" t="str">
        <f aca="false">IF(OR(F10="",G10=""),"",F10*G10)</f>
        <v/>
      </c>
      <c r="I10" s="6" t="str">
        <f aca="false">IF(H10="","",IF(H10&gt;=15,"Extreme",IF(H10&gt;=10,"High",IF(H10&gt;=5,"Medium","Low"))))</f>
        <v/>
      </c>
      <c r="J10" s="5"/>
      <c r="K10" s="5"/>
      <c r="L10" s="5"/>
      <c r="M10" s="5"/>
      <c r="N10" s="5"/>
      <c r="O10" s="6" t="str">
        <f aca="false">IF(OR(M10="",N10=""),"",IF(OR(M10="Ineffective",N10="Ineffective"),"Ineffective",IF(OR(M10="Not tested",N10="Not tested"),"Not tested",IF(OR(M10="Partially effective",N10="Partially effective"),"Partially effective","Effective"))))</f>
        <v/>
      </c>
      <c r="P10" s="5"/>
      <c r="Q10" s="5"/>
      <c r="R10" s="6" t="str">
        <f aca="false">IF(OR(P10="",Q10=""),"",P10*Q10)</f>
        <v/>
      </c>
      <c r="S10" s="6" t="str">
        <f aca="false">IF(R10="","",IF(R10&gt;=15,"Extreme",IF(R10&gt;=10,"High",IF(R10&gt;=5,"Medium","Low"))))</f>
        <v/>
      </c>
      <c r="T10" s="5"/>
      <c r="U10" s="5"/>
      <c r="V10" s="5"/>
      <c r="W10" s="10"/>
      <c r="X10" s="5"/>
      <c r="Y10" s="10"/>
    </row>
    <row r="11" customFormat="false" ht="15" hidden="false" customHeight="false" outlineLevel="0" collapsed="false">
      <c r="A11" s="5"/>
      <c r="B11" s="5"/>
      <c r="C11" s="5"/>
      <c r="D11" s="5"/>
      <c r="E11" s="5"/>
      <c r="F11" s="5"/>
      <c r="G11" s="5"/>
      <c r="H11" s="6" t="str">
        <f aca="false">IF(OR(F11="",G11=""),"",F11*G11)</f>
        <v/>
      </c>
      <c r="I11" s="6" t="str">
        <f aca="false">IF(H11="","",IF(H11&gt;=15,"Extreme",IF(H11&gt;=10,"High",IF(H11&gt;=5,"Medium","Low"))))</f>
        <v/>
      </c>
      <c r="J11" s="5"/>
      <c r="K11" s="5"/>
      <c r="L11" s="5"/>
      <c r="M11" s="5"/>
      <c r="N11" s="5"/>
      <c r="O11" s="6" t="str">
        <f aca="false">IF(OR(M11="",N11=""),"",IF(OR(M11="Ineffective",N11="Ineffective"),"Ineffective",IF(OR(M11="Not tested",N11="Not tested"),"Not tested",IF(OR(M11="Partially effective",N11="Partially effective"),"Partially effective","Effective"))))</f>
        <v/>
      </c>
      <c r="P11" s="5"/>
      <c r="Q11" s="5"/>
      <c r="R11" s="6" t="str">
        <f aca="false">IF(OR(P11="",Q11=""),"",P11*Q11)</f>
        <v/>
      </c>
      <c r="S11" s="6" t="str">
        <f aca="false">IF(R11="","",IF(R11&gt;=15,"Extreme",IF(R11&gt;=10,"High",IF(R11&gt;=5,"Medium","Low"))))</f>
        <v/>
      </c>
      <c r="T11" s="5"/>
      <c r="U11" s="5"/>
      <c r="V11" s="5"/>
      <c r="W11" s="10"/>
      <c r="X11" s="5"/>
      <c r="Y11" s="10"/>
    </row>
    <row r="12" customFormat="false" ht="15" hidden="false" customHeight="false" outlineLevel="0" collapsed="false">
      <c r="A12" s="5"/>
      <c r="B12" s="5"/>
      <c r="C12" s="5"/>
      <c r="D12" s="5"/>
      <c r="E12" s="5"/>
      <c r="F12" s="5"/>
      <c r="G12" s="5"/>
      <c r="H12" s="6" t="str">
        <f aca="false">IF(OR(F12="",G12=""),"",F12*G12)</f>
        <v/>
      </c>
      <c r="I12" s="6" t="str">
        <f aca="false">IF(H12="","",IF(H12&gt;=15,"Extreme",IF(H12&gt;=10,"High",IF(H12&gt;=5,"Medium","Low"))))</f>
        <v/>
      </c>
      <c r="J12" s="5"/>
      <c r="K12" s="5"/>
      <c r="L12" s="5"/>
      <c r="M12" s="5"/>
      <c r="N12" s="5"/>
      <c r="O12" s="6" t="str">
        <f aca="false">IF(OR(M12="",N12=""),"",IF(OR(M12="Ineffective",N12="Ineffective"),"Ineffective",IF(OR(M12="Not tested",N12="Not tested"),"Not tested",IF(OR(M12="Partially effective",N12="Partially effective"),"Partially effective","Effective"))))</f>
        <v/>
      </c>
      <c r="P12" s="5"/>
      <c r="Q12" s="5"/>
      <c r="R12" s="6" t="str">
        <f aca="false">IF(OR(P12="",Q12=""),"",P12*Q12)</f>
        <v/>
      </c>
      <c r="S12" s="6" t="str">
        <f aca="false">IF(R12="","",IF(R12&gt;=15,"Extreme",IF(R12&gt;=10,"High",IF(R12&gt;=5,"Medium","Low"))))</f>
        <v/>
      </c>
      <c r="T12" s="5"/>
      <c r="U12" s="5"/>
      <c r="V12" s="5"/>
      <c r="W12" s="10"/>
      <c r="X12" s="5"/>
      <c r="Y12" s="10"/>
    </row>
    <row r="13" customFormat="false" ht="15" hidden="false" customHeight="false" outlineLevel="0" collapsed="false">
      <c r="A13" s="5"/>
      <c r="B13" s="5"/>
      <c r="C13" s="5"/>
      <c r="D13" s="5"/>
      <c r="E13" s="5"/>
      <c r="F13" s="5"/>
      <c r="G13" s="5"/>
      <c r="H13" s="6" t="str">
        <f aca="false">IF(OR(F13="",G13=""),"",F13*G13)</f>
        <v/>
      </c>
      <c r="I13" s="6" t="str">
        <f aca="false">IF(H13="","",IF(H13&gt;=15,"Extreme",IF(H13&gt;=10,"High",IF(H13&gt;=5,"Medium","Low"))))</f>
        <v/>
      </c>
      <c r="J13" s="5"/>
      <c r="K13" s="5"/>
      <c r="L13" s="5"/>
      <c r="M13" s="5"/>
      <c r="N13" s="5"/>
      <c r="O13" s="6" t="str">
        <f aca="false">IF(OR(M13="",N13=""),"",IF(OR(M13="Ineffective",N13="Ineffective"),"Ineffective",IF(OR(M13="Not tested",N13="Not tested"),"Not tested",IF(OR(M13="Partially effective",N13="Partially effective"),"Partially effective","Effective"))))</f>
        <v/>
      </c>
      <c r="P13" s="5"/>
      <c r="Q13" s="5"/>
      <c r="R13" s="6" t="str">
        <f aca="false">IF(OR(P13="",Q13=""),"",P13*Q13)</f>
        <v/>
      </c>
      <c r="S13" s="6" t="str">
        <f aca="false">IF(R13="","",IF(R13&gt;=15,"Extreme",IF(R13&gt;=10,"High",IF(R13&gt;=5,"Medium","Low"))))</f>
        <v/>
      </c>
      <c r="T13" s="5"/>
      <c r="U13" s="5"/>
      <c r="V13" s="5"/>
      <c r="W13" s="10"/>
      <c r="X13" s="5"/>
      <c r="Y13" s="10"/>
    </row>
    <row r="14" customFormat="false" ht="15" hidden="false" customHeight="false" outlineLevel="0" collapsed="false">
      <c r="A14" s="5"/>
      <c r="B14" s="5"/>
      <c r="C14" s="5"/>
      <c r="D14" s="5"/>
      <c r="E14" s="5"/>
      <c r="F14" s="5"/>
      <c r="G14" s="5"/>
      <c r="H14" s="6" t="str">
        <f aca="false">IF(OR(F14="",G14=""),"",F14*G14)</f>
        <v/>
      </c>
      <c r="I14" s="6" t="str">
        <f aca="false">IF(H14="","",IF(H14&gt;=15,"Extreme",IF(H14&gt;=10,"High",IF(H14&gt;=5,"Medium","Low"))))</f>
        <v/>
      </c>
      <c r="J14" s="5"/>
      <c r="K14" s="5"/>
      <c r="L14" s="5"/>
      <c r="M14" s="5"/>
      <c r="N14" s="5"/>
      <c r="O14" s="6" t="str">
        <f aca="false">IF(OR(M14="",N14=""),"",IF(OR(M14="Ineffective",N14="Ineffective"),"Ineffective",IF(OR(M14="Not tested",N14="Not tested"),"Not tested",IF(OR(M14="Partially effective",N14="Partially effective"),"Partially effective","Effective"))))</f>
        <v/>
      </c>
      <c r="P14" s="5"/>
      <c r="Q14" s="5"/>
      <c r="R14" s="6" t="str">
        <f aca="false">IF(OR(P14="",Q14=""),"",P14*Q14)</f>
        <v/>
      </c>
      <c r="S14" s="6" t="str">
        <f aca="false">IF(R14="","",IF(R14&gt;=15,"Extreme",IF(R14&gt;=10,"High",IF(R14&gt;=5,"Medium","Low"))))</f>
        <v/>
      </c>
      <c r="T14" s="5"/>
      <c r="U14" s="5"/>
      <c r="V14" s="5"/>
      <c r="W14" s="10"/>
      <c r="X14" s="5"/>
      <c r="Y14" s="10"/>
    </row>
    <row r="15" customFormat="false" ht="15" hidden="false" customHeight="false" outlineLevel="0" collapsed="false">
      <c r="A15" s="5"/>
      <c r="B15" s="5"/>
      <c r="C15" s="5"/>
      <c r="D15" s="5"/>
      <c r="E15" s="5"/>
      <c r="F15" s="5"/>
      <c r="G15" s="5"/>
      <c r="H15" s="6" t="str">
        <f aca="false">IF(OR(F15="",G15=""),"",F15*G15)</f>
        <v/>
      </c>
      <c r="I15" s="6" t="str">
        <f aca="false">IF(H15="","",IF(H15&gt;=15,"Extreme",IF(H15&gt;=10,"High",IF(H15&gt;=5,"Medium","Low"))))</f>
        <v/>
      </c>
      <c r="J15" s="5"/>
      <c r="K15" s="5"/>
      <c r="L15" s="5"/>
      <c r="M15" s="5"/>
      <c r="N15" s="5"/>
      <c r="O15" s="6" t="str">
        <f aca="false">IF(OR(M15="",N15=""),"",IF(OR(M15="Ineffective",N15="Ineffective"),"Ineffective",IF(OR(M15="Not tested",N15="Not tested"),"Not tested",IF(OR(M15="Partially effective",N15="Partially effective"),"Partially effective","Effective"))))</f>
        <v/>
      </c>
      <c r="P15" s="5"/>
      <c r="Q15" s="5"/>
      <c r="R15" s="6" t="str">
        <f aca="false">IF(OR(P15="",Q15=""),"",P15*Q15)</f>
        <v/>
      </c>
      <c r="S15" s="6" t="str">
        <f aca="false">IF(R15="","",IF(R15&gt;=15,"Extreme",IF(R15&gt;=10,"High",IF(R15&gt;=5,"Medium","Low"))))</f>
        <v/>
      </c>
      <c r="T15" s="5"/>
      <c r="U15" s="5"/>
      <c r="V15" s="5"/>
      <c r="W15" s="10"/>
      <c r="X15" s="5"/>
      <c r="Y15" s="10"/>
    </row>
    <row r="16" customFormat="false" ht="15" hidden="false" customHeight="false" outlineLevel="0" collapsed="false">
      <c r="A16" s="5"/>
      <c r="B16" s="5"/>
      <c r="C16" s="5"/>
      <c r="D16" s="5"/>
      <c r="E16" s="5"/>
      <c r="F16" s="5"/>
      <c r="G16" s="5"/>
      <c r="H16" s="6" t="str">
        <f aca="false">IF(OR(F16="",G16=""),"",F16*G16)</f>
        <v/>
      </c>
      <c r="I16" s="6" t="str">
        <f aca="false">IF(H16="","",IF(H16&gt;=15,"Extreme",IF(H16&gt;=10,"High",IF(H16&gt;=5,"Medium","Low"))))</f>
        <v/>
      </c>
      <c r="J16" s="5"/>
      <c r="K16" s="5"/>
      <c r="L16" s="5"/>
      <c r="M16" s="5"/>
      <c r="N16" s="5"/>
      <c r="O16" s="6" t="str">
        <f aca="false">IF(OR(M16="",N16=""),"",IF(OR(M16="Ineffective",N16="Ineffective"),"Ineffective",IF(OR(M16="Not tested",N16="Not tested"),"Not tested",IF(OR(M16="Partially effective",N16="Partially effective"),"Partially effective","Effective"))))</f>
        <v/>
      </c>
      <c r="P16" s="5"/>
      <c r="Q16" s="5"/>
      <c r="R16" s="6" t="str">
        <f aca="false">IF(OR(P16="",Q16=""),"",P16*Q16)</f>
        <v/>
      </c>
      <c r="S16" s="6" t="str">
        <f aca="false">IF(R16="","",IF(R16&gt;=15,"Extreme",IF(R16&gt;=10,"High",IF(R16&gt;=5,"Medium","Low"))))</f>
        <v/>
      </c>
      <c r="T16" s="5"/>
      <c r="U16" s="5"/>
      <c r="V16" s="5"/>
      <c r="W16" s="10"/>
      <c r="X16" s="5"/>
      <c r="Y16" s="10"/>
    </row>
    <row r="17" customFormat="false" ht="15" hidden="false" customHeight="false" outlineLevel="0" collapsed="false">
      <c r="A17" s="5"/>
      <c r="B17" s="5"/>
      <c r="C17" s="5"/>
      <c r="D17" s="5"/>
      <c r="E17" s="5"/>
      <c r="F17" s="5"/>
      <c r="G17" s="5"/>
      <c r="H17" s="6" t="str">
        <f aca="false">IF(OR(F17="",G17=""),"",F17*G17)</f>
        <v/>
      </c>
      <c r="I17" s="6" t="str">
        <f aca="false">IF(H17="","",IF(H17&gt;=15,"Extreme",IF(H17&gt;=10,"High",IF(H17&gt;=5,"Medium","Low"))))</f>
        <v/>
      </c>
      <c r="J17" s="5"/>
      <c r="K17" s="5"/>
      <c r="L17" s="5"/>
      <c r="M17" s="5"/>
      <c r="N17" s="5"/>
      <c r="O17" s="6" t="str">
        <f aca="false">IF(OR(M17="",N17=""),"",IF(OR(M17="Ineffective",N17="Ineffective"),"Ineffective",IF(OR(M17="Not tested",N17="Not tested"),"Not tested",IF(OR(M17="Partially effective",N17="Partially effective"),"Partially effective","Effective"))))</f>
        <v/>
      </c>
      <c r="P17" s="5"/>
      <c r="Q17" s="5"/>
      <c r="R17" s="6" t="str">
        <f aca="false">IF(OR(P17="",Q17=""),"",P17*Q17)</f>
        <v/>
      </c>
      <c r="S17" s="6" t="str">
        <f aca="false">IF(R17="","",IF(R17&gt;=15,"Extreme",IF(R17&gt;=10,"High",IF(R17&gt;=5,"Medium","Low"))))</f>
        <v/>
      </c>
      <c r="T17" s="5"/>
      <c r="U17" s="5"/>
      <c r="V17" s="5"/>
      <c r="W17" s="10"/>
      <c r="X17" s="5"/>
      <c r="Y17" s="10"/>
    </row>
    <row r="18" customFormat="false" ht="15" hidden="false" customHeight="false" outlineLevel="0" collapsed="false">
      <c r="A18" s="5"/>
      <c r="B18" s="5"/>
      <c r="C18" s="5"/>
      <c r="D18" s="5"/>
      <c r="E18" s="5"/>
      <c r="F18" s="5"/>
      <c r="G18" s="5"/>
      <c r="H18" s="6" t="str">
        <f aca="false">IF(OR(F18="",G18=""),"",F18*G18)</f>
        <v/>
      </c>
      <c r="I18" s="6" t="str">
        <f aca="false">IF(H18="","",IF(H18&gt;=15,"Extreme",IF(H18&gt;=10,"High",IF(H18&gt;=5,"Medium","Low"))))</f>
        <v/>
      </c>
      <c r="J18" s="5"/>
      <c r="K18" s="5"/>
      <c r="L18" s="5"/>
      <c r="M18" s="5"/>
      <c r="N18" s="5"/>
      <c r="O18" s="6" t="str">
        <f aca="false">IF(OR(M18="",N18=""),"",IF(OR(M18="Ineffective",N18="Ineffective"),"Ineffective",IF(OR(M18="Not tested",N18="Not tested"),"Not tested",IF(OR(M18="Partially effective",N18="Partially effective"),"Partially effective","Effective"))))</f>
        <v/>
      </c>
      <c r="P18" s="5"/>
      <c r="Q18" s="5"/>
      <c r="R18" s="6" t="str">
        <f aca="false">IF(OR(P18="",Q18=""),"",P18*Q18)</f>
        <v/>
      </c>
      <c r="S18" s="6" t="str">
        <f aca="false">IF(R18="","",IF(R18&gt;=15,"Extreme",IF(R18&gt;=10,"High",IF(R18&gt;=5,"Medium","Low"))))</f>
        <v/>
      </c>
      <c r="T18" s="5"/>
      <c r="U18" s="5"/>
      <c r="V18" s="5"/>
      <c r="W18" s="10"/>
      <c r="X18" s="5"/>
      <c r="Y18" s="10"/>
    </row>
    <row r="19" customFormat="false" ht="15" hidden="false" customHeight="false" outlineLevel="0" collapsed="false">
      <c r="A19" s="5"/>
      <c r="B19" s="5"/>
      <c r="C19" s="5"/>
      <c r="D19" s="5"/>
      <c r="E19" s="5"/>
      <c r="F19" s="5"/>
      <c r="G19" s="5"/>
      <c r="H19" s="6" t="str">
        <f aca="false">IF(OR(F19="",G19=""),"",F19*G19)</f>
        <v/>
      </c>
      <c r="I19" s="6" t="str">
        <f aca="false">IF(H19="","",IF(H19&gt;=15,"Extreme",IF(H19&gt;=10,"High",IF(H19&gt;=5,"Medium","Low"))))</f>
        <v/>
      </c>
      <c r="J19" s="5"/>
      <c r="K19" s="5"/>
      <c r="L19" s="5"/>
      <c r="M19" s="5"/>
      <c r="N19" s="5"/>
      <c r="O19" s="6" t="str">
        <f aca="false">IF(OR(M19="",N19=""),"",IF(OR(M19="Ineffective",N19="Ineffective"),"Ineffective",IF(OR(M19="Not tested",N19="Not tested"),"Not tested",IF(OR(M19="Partially effective",N19="Partially effective"),"Partially effective","Effective"))))</f>
        <v/>
      </c>
      <c r="P19" s="5"/>
      <c r="Q19" s="5"/>
      <c r="R19" s="6" t="str">
        <f aca="false">IF(OR(P19="",Q19=""),"",P19*Q19)</f>
        <v/>
      </c>
      <c r="S19" s="6" t="str">
        <f aca="false">IF(R19="","",IF(R19&gt;=15,"Extreme",IF(R19&gt;=10,"High",IF(R19&gt;=5,"Medium","Low"))))</f>
        <v/>
      </c>
      <c r="T19" s="5"/>
      <c r="U19" s="5"/>
      <c r="V19" s="5"/>
      <c r="W19" s="10"/>
      <c r="X19" s="5"/>
      <c r="Y19" s="10"/>
    </row>
    <row r="20" customFormat="false" ht="15" hidden="false" customHeight="false" outlineLevel="0" collapsed="false">
      <c r="A20" s="5"/>
      <c r="B20" s="5"/>
      <c r="C20" s="5"/>
      <c r="D20" s="5"/>
      <c r="E20" s="5"/>
      <c r="F20" s="5"/>
      <c r="G20" s="5"/>
      <c r="H20" s="6" t="str">
        <f aca="false">IF(OR(F20="",G20=""),"",F20*G20)</f>
        <v/>
      </c>
      <c r="I20" s="6" t="str">
        <f aca="false">IF(H20="","",IF(H20&gt;=15,"Extreme",IF(H20&gt;=10,"High",IF(H20&gt;=5,"Medium","Low"))))</f>
        <v/>
      </c>
      <c r="J20" s="5"/>
      <c r="K20" s="5"/>
      <c r="L20" s="5"/>
      <c r="M20" s="5"/>
      <c r="N20" s="5"/>
      <c r="O20" s="6" t="str">
        <f aca="false">IF(OR(M20="",N20=""),"",IF(OR(M20="Ineffective",N20="Ineffective"),"Ineffective",IF(OR(M20="Not tested",N20="Not tested"),"Not tested",IF(OR(M20="Partially effective",N20="Partially effective"),"Partially effective","Effective"))))</f>
        <v/>
      </c>
      <c r="P20" s="5"/>
      <c r="Q20" s="5"/>
      <c r="R20" s="6" t="str">
        <f aca="false">IF(OR(P20="",Q20=""),"",P20*Q20)</f>
        <v/>
      </c>
      <c r="S20" s="6" t="str">
        <f aca="false">IF(R20="","",IF(R20&gt;=15,"Extreme",IF(R20&gt;=10,"High",IF(R20&gt;=5,"Medium","Low"))))</f>
        <v/>
      </c>
      <c r="T20" s="5"/>
      <c r="U20" s="5"/>
      <c r="V20" s="5"/>
      <c r="W20" s="10"/>
      <c r="X20" s="5"/>
      <c r="Y20" s="10"/>
    </row>
    <row r="21" customFormat="false" ht="15" hidden="false" customHeight="false" outlineLevel="0" collapsed="false">
      <c r="A21" s="5"/>
      <c r="B21" s="5"/>
      <c r="C21" s="5"/>
      <c r="D21" s="5"/>
      <c r="E21" s="5"/>
      <c r="F21" s="5"/>
      <c r="G21" s="5"/>
      <c r="H21" s="6" t="str">
        <f aca="false">IF(OR(F21="",G21=""),"",F21*G21)</f>
        <v/>
      </c>
      <c r="I21" s="6" t="str">
        <f aca="false">IF(H21="","",IF(H21&gt;=15,"Extreme",IF(H21&gt;=10,"High",IF(H21&gt;=5,"Medium","Low"))))</f>
        <v/>
      </c>
      <c r="J21" s="5"/>
      <c r="K21" s="5"/>
      <c r="L21" s="5"/>
      <c r="M21" s="5"/>
      <c r="N21" s="5"/>
      <c r="O21" s="6" t="str">
        <f aca="false">IF(OR(M21="",N21=""),"",IF(OR(M21="Ineffective",N21="Ineffective"),"Ineffective",IF(OR(M21="Not tested",N21="Not tested"),"Not tested",IF(OR(M21="Partially effective",N21="Partially effective"),"Partially effective","Effective"))))</f>
        <v/>
      </c>
      <c r="P21" s="5"/>
      <c r="Q21" s="5"/>
      <c r="R21" s="6" t="str">
        <f aca="false">IF(OR(P21="",Q21=""),"",P21*Q21)</f>
        <v/>
      </c>
      <c r="S21" s="6" t="str">
        <f aca="false">IF(R21="","",IF(R21&gt;=15,"Extreme",IF(R21&gt;=10,"High",IF(R21&gt;=5,"Medium","Low"))))</f>
        <v/>
      </c>
      <c r="T21" s="5"/>
      <c r="U21" s="5"/>
      <c r="V21" s="5"/>
      <c r="W21" s="10"/>
      <c r="X21" s="5"/>
      <c r="Y21" s="10"/>
    </row>
    <row r="22" customFormat="false" ht="15" hidden="false" customHeight="false" outlineLevel="0" collapsed="false">
      <c r="A22" s="5"/>
      <c r="B22" s="5"/>
      <c r="C22" s="5"/>
      <c r="D22" s="5"/>
      <c r="E22" s="5"/>
      <c r="F22" s="5"/>
      <c r="G22" s="5"/>
      <c r="H22" s="6" t="str">
        <f aca="false">IF(OR(F22="",G22=""),"",F22*G22)</f>
        <v/>
      </c>
      <c r="I22" s="6" t="str">
        <f aca="false">IF(H22="","",IF(H22&gt;=15,"Extreme",IF(H22&gt;=10,"High",IF(H22&gt;=5,"Medium","Low"))))</f>
        <v/>
      </c>
      <c r="J22" s="5"/>
      <c r="K22" s="5"/>
      <c r="L22" s="5"/>
      <c r="M22" s="5"/>
      <c r="N22" s="5"/>
      <c r="O22" s="6" t="str">
        <f aca="false">IF(OR(M22="",N22=""),"",IF(OR(M22="Ineffective",N22="Ineffective"),"Ineffective",IF(OR(M22="Not tested",N22="Not tested"),"Not tested",IF(OR(M22="Partially effective",N22="Partially effective"),"Partially effective","Effective"))))</f>
        <v/>
      </c>
      <c r="P22" s="5"/>
      <c r="Q22" s="5"/>
      <c r="R22" s="6" t="str">
        <f aca="false">IF(OR(P22="",Q22=""),"",P22*Q22)</f>
        <v/>
      </c>
      <c r="S22" s="6" t="str">
        <f aca="false">IF(R22="","",IF(R22&gt;=15,"Extreme",IF(R22&gt;=10,"High",IF(R22&gt;=5,"Medium","Low"))))</f>
        <v/>
      </c>
      <c r="T22" s="5"/>
      <c r="U22" s="5"/>
      <c r="V22" s="5"/>
      <c r="W22" s="10"/>
      <c r="X22" s="5"/>
      <c r="Y22" s="10"/>
    </row>
    <row r="23" customFormat="false" ht="15" hidden="false" customHeight="false" outlineLevel="0" collapsed="false">
      <c r="A23" s="5"/>
      <c r="B23" s="5"/>
      <c r="C23" s="5"/>
      <c r="D23" s="5"/>
      <c r="E23" s="5"/>
      <c r="F23" s="5"/>
      <c r="G23" s="5"/>
      <c r="H23" s="6" t="str">
        <f aca="false">IF(OR(F23="",G23=""),"",F23*G23)</f>
        <v/>
      </c>
      <c r="I23" s="6" t="str">
        <f aca="false">IF(H23="","",IF(H23&gt;=15,"Extreme",IF(H23&gt;=10,"High",IF(H23&gt;=5,"Medium","Low"))))</f>
        <v/>
      </c>
      <c r="J23" s="5"/>
      <c r="K23" s="5"/>
      <c r="L23" s="5"/>
      <c r="M23" s="5"/>
      <c r="N23" s="5"/>
      <c r="O23" s="6" t="str">
        <f aca="false">IF(OR(M23="",N23=""),"",IF(OR(M23="Ineffective",N23="Ineffective"),"Ineffective",IF(OR(M23="Not tested",N23="Not tested"),"Not tested",IF(OR(M23="Partially effective",N23="Partially effective"),"Partially effective","Effective"))))</f>
        <v/>
      </c>
      <c r="P23" s="5"/>
      <c r="Q23" s="5"/>
      <c r="R23" s="6" t="str">
        <f aca="false">IF(OR(P23="",Q23=""),"",P23*Q23)</f>
        <v/>
      </c>
      <c r="S23" s="6" t="str">
        <f aca="false">IF(R23="","",IF(R23&gt;=15,"Extreme",IF(R23&gt;=10,"High",IF(R23&gt;=5,"Medium","Low"))))</f>
        <v/>
      </c>
      <c r="T23" s="5"/>
      <c r="U23" s="5"/>
      <c r="V23" s="5"/>
      <c r="W23" s="10"/>
      <c r="X23" s="5"/>
      <c r="Y23" s="10"/>
    </row>
    <row r="24" customFormat="false" ht="15" hidden="false" customHeight="false" outlineLevel="0" collapsed="false">
      <c r="A24" s="5"/>
      <c r="B24" s="5"/>
      <c r="C24" s="5"/>
      <c r="D24" s="5"/>
      <c r="E24" s="5"/>
      <c r="F24" s="5"/>
      <c r="G24" s="5"/>
      <c r="H24" s="6" t="str">
        <f aca="false">IF(OR(F24="",G24=""),"",F24*G24)</f>
        <v/>
      </c>
      <c r="I24" s="6" t="str">
        <f aca="false">IF(H24="","",IF(H24&gt;=15,"Extreme",IF(H24&gt;=10,"High",IF(H24&gt;=5,"Medium","Low"))))</f>
        <v/>
      </c>
      <c r="J24" s="5"/>
      <c r="K24" s="5"/>
      <c r="L24" s="5"/>
      <c r="M24" s="5"/>
      <c r="N24" s="5"/>
      <c r="O24" s="6" t="str">
        <f aca="false">IF(OR(M24="",N24=""),"",IF(OR(M24="Ineffective",N24="Ineffective"),"Ineffective",IF(OR(M24="Not tested",N24="Not tested"),"Not tested",IF(OR(M24="Partially effective",N24="Partially effective"),"Partially effective","Effective"))))</f>
        <v/>
      </c>
      <c r="P24" s="5"/>
      <c r="Q24" s="5"/>
      <c r="R24" s="6" t="str">
        <f aca="false">IF(OR(P24="",Q24=""),"",P24*Q24)</f>
        <v/>
      </c>
      <c r="S24" s="6" t="str">
        <f aca="false">IF(R24="","",IF(R24&gt;=15,"Extreme",IF(R24&gt;=10,"High",IF(R24&gt;=5,"Medium","Low"))))</f>
        <v/>
      </c>
      <c r="T24" s="5"/>
      <c r="U24" s="5"/>
      <c r="V24" s="5"/>
      <c r="W24" s="10"/>
      <c r="X24" s="5"/>
      <c r="Y24" s="10"/>
    </row>
    <row r="25" customFormat="false" ht="15" hidden="false" customHeight="false" outlineLevel="0" collapsed="false">
      <c r="A25" s="5"/>
      <c r="B25" s="5"/>
      <c r="C25" s="5"/>
      <c r="D25" s="5"/>
      <c r="E25" s="5"/>
      <c r="F25" s="5"/>
      <c r="G25" s="5"/>
      <c r="H25" s="6" t="str">
        <f aca="false">IF(OR(F25="",G25=""),"",F25*G25)</f>
        <v/>
      </c>
      <c r="I25" s="6" t="str">
        <f aca="false">IF(H25="","",IF(H25&gt;=15,"Extreme",IF(H25&gt;=10,"High",IF(H25&gt;=5,"Medium","Low"))))</f>
        <v/>
      </c>
      <c r="J25" s="5"/>
      <c r="K25" s="5"/>
      <c r="L25" s="5"/>
      <c r="M25" s="5"/>
      <c r="N25" s="5"/>
      <c r="O25" s="6" t="str">
        <f aca="false">IF(OR(M25="",N25=""),"",IF(OR(M25="Ineffective",N25="Ineffective"),"Ineffective",IF(OR(M25="Not tested",N25="Not tested"),"Not tested",IF(OR(M25="Partially effective",N25="Partially effective"),"Partially effective","Effective"))))</f>
        <v/>
      </c>
      <c r="P25" s="5"/>
      <c r="Q25" s="5"/>
      <c r="R25" s="6" t="str">
        <f aca="false">IF(OR(P25="",Q25=""),"",P25*Q25)</f>
        <v/>
      </c>
      <c r="S25" s="6" t="str">
        <f aca="false">IF(R25="","",IF(R25&gt;=15,"Extreme",IF(R25&gt;=10,"High",IF(R25&gt;=5,"Medium","Low"))))</f>
        <v/>
      </c>
      <c r="T25" s="5"/>
      <c r="U25" s="5"/>
      <c r="V25" s="5"/>
      <c r="W25" s="10"/>
      <c r="X25" s="5"/>
      <c r="Y25" s="10"/>
    </row>
    <row r="26" customFormat="false" ht="15" hidden="false" customHeight="false" outlineLevel="0" collapsed="false">
      <c r="A26" s="5"/>
      <c r="B26" s="5"/>
      <c r="C26" s="5"/>
      <c r="D26" s="5"/>
      <c r="E26" s="5"/>
      <c r="F26" s="5"/>
      <c r="G26" s="5"/>
      <c r="H26" s="6" t="str">
        <f aca="false">IF(OR(F26="",G26=""),"",F26*G26)</f>
        <v/>
      </c>
      <c r="I26" s="6" t="str">
        <f aca="false">IF(H26="","",IF(H26&gt;=15,"Extreme",IF(H26&gt;=10,"High",IF(H26&gt;=5,"Medium","Low"))))</f>
        <v/>
      </c>
      <c r="J26" s="5"/>
      <c r="K26" s="5"/>
      <c r="L26" s="5"/>
      <c r="M26" s="5"/>
      <c r="N26" s="5"/>
      <c r="O26" s="6" t="str">
        <f aca="false">IF(OR(M26="",N26=""),"",IF(OR(M26="Ineffective",N26="Ineffective"),"Ineffective",IF(OR(M26="Not tested",N26="Not tested"),"Not tested",IF(OR(M26="Partially effective",N26="Partially effective"),"Partially effective","Effective"))))</f>
        <v/>
      </c>
      <c r="P26" s="5"/>
      <c r="Q26" s="5"/>
      <c r="R26" s="6" t="str">
        <f aca="false">IF(OR(P26="",Q26=""),"",P26*Q26)</f>
        <v/>
      </c>
      <c r="S26" s="6" t="str">
        <f aca="false">IF(R26="","",IF(R26&gt;=15,"Extreme",IF(R26&gt;=10,"High",IF(R26&gt;=5,"Medium","Low"))))</f>
        <v/>
      </c>
      <c r="T26" s="5"/>
      <c r="U26" s="5"/>
      <c r="V26" s="5"/>
      <c r="W26" s="10"/>
      <c r="X26" s="5"/>
      <c r="Y26" s="10"/>
    </row>
    <row r="27" customFormat="false" ht="15" hidden="false" customHeight="false" outlineLevel="0" collapsed="false">
      <c r="A27" s="5"/>
      <c r="B27" s="5"/>
      <c r="C27" s="5"/>
      <c r="D27" s="5"/>
      <c r="E27" s="5"/>
      <c r="F27" s="5"/>
      <c r="G27" s="5"/>
      <c r="H27" s="6" t="str">
        <f aca="false">IF(OR(F27="",G27=""),"",F27*G27)</f>
        <v/>
      </c>
      <c r="I27" s="6" t="str">
        <f aca="false">IF(H27="","",IF(H27&gt;=15,"Extreme",IF(H27&gt;=10,"High",IF(H27&gt;=5,"Medium","Low"))))</f>
        <v/>
      </c>
      <c r="J27" s="5"/>
      <c r="K27" s="5"/>
      <c r="L27" s="5"/>
      <c r="M27" s="5"/>
      <c r="N27" s="5"/>
      <c r="O27" s="6" t="str">
        <f aca="false">IF(OR(M27="",N27=""),"",IF(OR(M27="Ineffective",N27="Ineffective"),"Ineffective",IF(OR(M27="Not tested",N27="Not tested"),"Not tested",IF(OR(M27="Partially effective",N27="Partially effective"),"Partially effective","Effective"))))</f>
        <v/>
      </c>
      <c r="P27" s="5"/>
      <c r="Q27" s="5"/>
      <c r="R27" s="6" t="str">
        <f aca="false">IF(OR(P27="",Q27=""),"",P27*Q27)</f>
        <v/>
      </c>
      <c r="S27" s="6" t="str">
        <f aca="false">IF(R27="","",IF(R27&gt;=15,"Extreme",IF(R27&gt;=10,"High",IF(R27&gt;=5,"Medium","Low"))))</f>
        <v/>
      </c>
      <c r="T27" s="5"/>
      <c r="U27" s="5"/>
      <c r="V27" s="5"/>
      <c r="W27" s="10"/>
      <c r="X27" s="5"/>
      <c r="Y27" s="10"/>
    </row>
    <row r="28" customFormat="false" ht="15" hidden="false" customHeight="false" outlineLevel="0" collapsed="false">
      <c r="A28" s="5"/>
      <c r="B28" s="5"/>
      <c r="C28" s="5"/>
      <c r="D28" s="5"/>
      <c r="E28" s="5"/>
      <c r="F28" s="5"/>
      <c r="G28" s="5"/>
      <c r="H28" s="6" t="str">
        <f aca="false">IF(OR(F28="",G28=""),"",F28*G28)</f>
        <v/>
      </c>
      <c r="I28" s="6" t="str">
        <f aca="false">IF(H28="","",IF(H28&gt;=15,"Extreme",IF(H28&gt;=10,"High",IF(H28&gt;=5,"Medium","Low"))))</f>
        <v/>
      </c>
      <c r="J28" s="5"/>
      <c r="K28" s="5"/>
      <c r="L28" s="5"/>
      <c r="M28" s="5"/>
      <c r="N28" s="5"/>
      <c r="O28" s="6" t="str">
        <f aca="false">IF(OR(M28="",N28=""),"",IF(OR(M28="Ineffective",N28="Ineffective"),"Ineffective",IF(OR(M28="Not tested",N28="Not tested"),"Not tested",IF(OR(M28="Partially effective",N28="Partially effective"),"Partially effective","Effective"))))</f>
        <v/>
      </c>
      <c r="P28" s="5"/>
      <c r="Q28" s="5"/>
      <c r="R28" s="6" t="str">
        <f aca="false">IF(OR(P28="",Q28=""),"",P28*Q28)</f>
        <v/>
      </c>
      <c r="S28" s="6" t="str">
        <f aca="false">IF(R28="","",IF(R28&gt;=15,"Extreme",IF(R28&gt;=10,"High",IF(R28&gt;=5,"Medium","Low"))))</f>
        <v/>
      </c>
      <c r="T28" s="5"/>
      <c r="U28" s="5"/>
      <c r="V28" s="5"/>
      <c r="W28" s="10"/>
      <c r="X28" s="5"/>
      <c r="Y28" s="10"/>
    </row>
    <row r="29" customFormat="false" ht="15" hidden="false" customHeight="false" outlineLevel="0" collapsed="false">
      <c r="A29" s="5"/>
      <c r="B29" s="5"/>
      <c r="C29" s="5"/>
      <c r="D29" s="5"/>
      <c r="E29" s="5"/>
      <c r="F29" s="5"/>
      <c r="G29" s="5"/>
      <c r="H29" s="6" t="str">
        <f aca="false">IF(OR(F29="",G29=""),"",F29*G29)</f>
        <v/>
      </c>
      <c r="I29" s="6" t="str">
        <f aca="false">IF(H29="","",IF(H29&gt;=15,"Extreme",IF(H29&gt;=10,"High",IF(H29&gt;=5,"Medium","Low"))))</f>
        <v/>
      </c>
      <c r="J29" s="5"/>
      <c r="K29" s="5"/>
      <c r="L29" s="5"/>
      <c r="M29" s="5"/>
      <c r="N29" s="5"/>
      <c r="O29" s="6" t="str">
        <f aca="false">IF(OR(M29="",N29=""),"",IF(OR(M29="Ineffective",N29="Ineffective"),"Ineffective",IF(OR(M29="Not tested",N29="Not tested"),"Not tested",IF(OR(M29="Partially effective",N29="Partially effective"),"Partially effective","Effective"))))</f>
        <v/>
      </c>
      <c r="P29" s="5"/>
      <c r="Q29" s="5"/>
      <c r="R29" s="6" t="str">
        <f aca="false">IF(OR(P29="",Q29=""),"",P29*Q29)</f>
        <v/>
      </c>
      <c r="S29" s="6" t="str">
        <f aca="false">IF(R29="","",IF(R29&gt;=15,"Extreme",IF(R29&gt;=10,"High",IF(R29&gt;=5,"Medium","Low"))))</f>
        <v/>
      </c>
      <c r="T29" s="5"/>
      <c r="U29" s="5"/>
      <c r="V29" s="5"/>
      <c r="W29" s="10"/>
      <c r="X29" s="5"/>
      <c r="Y29" s="10"/>
    </row>
    <row r="30" customFormat="false" ht="15" hidden="false" customHeight="false" outlineLevel="0" collapsed="false">
      <c r="A30" s="5"/>
      <c r="B30" s="5"/>
      <c r="C30" s="5"/>
      <c r="D30" s="5"/>
      <c r="E30" s="5"/>
      <c r="F30" s="5"/>
      <c r="G30" s="5"/>
      <c r="H30" s="6" t="str">
        <f aca="false">IF(OR(F30="",G30=""),"",F30*G30)</f>
        <v/>
      </c>
      <c r="I30" s="6" t="str">
        <f aca="false">IF(H30="","",IF(H30&gt;=15,"Extreme",IF(H30&gt;=10,"High",IF(H30&gt;=5,"Medium","Low"))))</f>
        <v/>
      </c>
      <c r="J30" s="5"/>
      <c r="K30" s="5"/>
      <c r="L30" s="5"/>
      <c r="M30" s="5"/>
      <c r="N30" s="5"/>
      <c r="O30" s="6" t="str">
        <f aca="false">IF(OR(M30="",N30=""),"",IF(OR(M30="Ineffective",N30="Ineffective"),"Ineffective",IF(OR(M30="Not tested",N30="Not tested"),"Not tested",IF(OR(M30="Partially effective",N30="Partially effective"),"Partially effective","Effective"))))</f>
        <v/>
      </c>
      <c r="P30" s="5"/>
      <c r="Q30" s="5"/>
      <c r="R30" s="6" t="str">
        <f aca="false">IF(OR(P30="",Q30=""),"",P30*Q30)</f>
        <v/>
      </c>
      <c r="S30" s="6" t="str">
        <f aca="false">IF(R30="","",IF(R30&gt;=15,"Extreme",IF(R30&gt;=10,"High",IF(R30&gt;=5,"Medium","Low"))))</f>
        <v/>
      </c>
      <c r="T30" s="5"/>
      <c r="U30" s="5"/>
      <c r="V30" s="5"/>
      <c r="W30" s="10"/>
      <c r="X30" s="5"/>
      <c r="Y30" s="10"/>
    </row>
    <row r="31" customFormat="false" ht="15" hidden="false" customHeight="false" outlineLevel="0" collapsed="false">
      <c r="A31" s="5"/>
      <c r="B31" s="5"/>
      <c r="C31" s="5"/>
      <c r="D31" s="5"/>
      <c r="E31" s="5"/>
      <c r="F31" s="5"/>
      <c r="G31" s="5"/>
      <c r="H31" s="6" t="str">
        <f aca="false">IF(OR(F31="",G31=""),"",F31*G31)</f>
        <v/>
      </c>
      <c r="I31" s="6" t="str">
        <f aca="false">IF(H31="","",IF(H31&gt;=15,"Extreme",IF(H31&gt;=10,"High",IF(H31&gt;=5,"Medium","Low"))))</f>
        <v/>
      </c>
      <c r="J31" s="5"/>
      <c r="K31" s="5"/>
      <c r="L31" s="5"/>
      <c r="M31" s="5"/>
      <c r="N31" s="5"/>
      <c r="O31" s="6" t="str">
        <f aca="false">IF(OR(M31="",N31=""),"",IF(OR(M31="Ineffective",N31="Ineffective"),"Ineffective",IF(OR(M31="Not tested",N31="Not tested"),"Not tested",IF(OR(M31="Partially effective",N31="Partially effective"),"Partially effective","Effective"))))</f>
        <v/>
      </c>
      <c r="P31" s="5"/>
      <c r="Q31" s="5"/>
      <c r="R31" s="6" t="str">
        <f aca="false">IF(OR(P31="",Q31=""),"",P31*Q31)</f>
        <v/>
      </c>
      <c r="S31" s="6" t="str">
        <f aca="false">IF(R31="","",IF(R31&gt;=15,"Extreme",IF(R31&gt;=10,"High",IF(R31&gt;=5,"Medium","Low"))))</f>
        <v/>
      </c>
      <c r="T31" s="5"/>
      <c r="U31" s="5"/>
      <c r="V31" s="5"/>
      <c r="W31" s="10"/>
      <c r="X31" s="5"/>
      <c r="Y31" s="10"/>
    </row>
    <row r="32" customFormat="false" ht="15" hidden="false" customHeight="false" outlineLevel="0" collapsed="false">
      <c r="A32" s="5"/>
      <c r="B32" s="5"/>
      <c r="C32" s="5"/>
      <c r="D32" s="5"/>
      <c r="E32" s="5"/>
      <c r="F32" s="5"/>
      <c r="G32" s="5"/>
      <c r="H32" s="6" t="str">
        <f aca="false">IF(OR(F32="",G32=""),"",F32*G32)</f>
        <v/>
      </c>
      <c r="I32" s="6" t="str">
        <f aca="false">IF(H32="","",IF(H32&gt;=15,"Extreme",IF(H32&gt;=10,"High",IF(H32&gt;=5,"Medium","Low"))))</f>
        <v/>
      </c>
      <c r="J32" s="5"/>
      <c r="K32" s="5"/>
      <c r="L32" s="5"/>
      <c r="M32" s="5"/>
      <c r="N32" s="5"/>
      <c r="O32" s="6" t="str">
        <f aca="false">IF(OR(M32="",N32=""),"",IF(OR(M32="Ineffective",N32="Ineffective"),"Ineffective",IF(OR(M32="Not tested",N32="Not tested"),"Not tested",IF(OR(M32="Partially effective",N32="Partially effective"),"Partially effective","Effective"))))</f>
        <v/>
      </c>
      <c r="P32" s="5"/>
      <c r="Q32" s="5"/>
      <c r="R32" s="6" t="str">
        <f aca="false">IF(OR(P32="",Q32=""),"",P32*Q32)</f>
        <v/>
      </c>
      <c r="S32" s="6" t="str">
        <f aca="false">IF(R32="","",IF(R32&gt;=15,"Extreme",IF(R32&gt;=10,"High",IF(R32&gt;=5,"Medium","Low"))))</f>
        <v/>
      </c>
      <c r="T32" s="5"/>
      <c r="U32" s="5"/>
      <c r="V32" s="5"/>
      <c r="W32" s="10"/>
      <c r="X32" s="5"/>
      <c r="Y32" s="10"/>
    </row>
    <row r="33" customFormat="false" ht="15" hidden="false" customHeight="false" outlineLevel="0" collapsed="false">
      <c r="A33" s="5"/>
      <c r="B33" s="5"/>
      <c r="C33" s="5"/>
      <c r="D33" s="5"/>
      <c r="E33" s="5"/>
      <c r="F33" s="5"/>
      <c r="G33" s="5"/>
      <c r="H33" s="6" t="str">
        <f aca="false">IF(OR(F33="",G33=""),"",F33*G33)</f>
        <v/>
      </c>
      <c r="I33" s="6" t="str">
        <f aca="false">IF(H33="","",IF(H33&gt;=15,"Extreme",IF(H33&gt;=10,"High",IF(H33&gt;=5,"Medium","Low"))))</f>
        <v/>
      </c>
      <c r="J33" s="5"/>
      <c r="K33" s="5"/>
      <c r="L33" s="5"/>
      <c r="M33" s="5"/>
      <c r="N33" s="5"/>
      <c r="O33" s="6" t="str">
        <f aca="false">IF(OR(M33="",N33=""),"",IF(OR(M33="Ineffective",N33="Ineffective"),"Ineffective",IF(OR(M33="Not tested",N33="Not tested"),"Not tested",IF(OR(M33="Partially effective",N33="Partially effective"),"Partially effective","Effective"))))</f>
        <v/>
      </c>
      <c r="P33" s="5"/>
      <c r="Q33" s="5"/>
      <c r="R33" s="6" t="str">
        <f aca="false">IF(OR(P33="",Q33=""),"",P33*Q33)</f>
        <v/>
      </c>
      <c r="S33" s="6" t="str">
        <f aca="false">IF(R33="","",IF(R33&gt;=15,"Extreme",IF(R33&gt;=10,"High",IF(R33&gt;=5,"Medium","Low"))))</f>
        <v/>
      </c>
      <c r="T33" s="5"/>
      <c r="U33" s="5"/>
      <c r="V33" s="5"/>
      <c r="W33" s="10"/>
      <c r="X33" s="5"/>
      <c r="Y33" s="10"/>
    </row>
    <row r="34" customFormat="false" ht="15" hidden="false" customHeight="false" outlineLevel="0" collapsed="false">
      <c r="A34" s="5"/>
      <c r="B34" s="5"/>
      <c r="C34" s="5"/>
      <c r="D34" s="5"/>
      <c r="E34" s="5"/>
      <c r="F34" s="5"/>
      <c r="G34" s="5"/>
      <c r="H34" s="6" t="str">
        <f aca="false">IF(OR(F34="",G34=""),"",F34*G34)</f>
        <v/>
      </c>
      <c r="I34" s="6" t="str">
        <f aca="false">IF(H34="","",IF(H34&gt;=15,"Extreme",IF(H34&gt;=10,"High",IF(H34&gt;=5,"Medium","Low"))))</f>
        <v/>
      </c>
      <c r="J34" s="5"/>
      <c r="K34" s="5"/>
      <c r="L34" s="5"/>
      <c r="M34" s="5"/>
      <c r="N34" s="5"/>
      <c r="O34" s="6" t="str">
        <f aca="false">IF(OR(M34="",N34=""),"",IF(OR(M34="Ineffective",N34="Ineffective"),"Ineffective",IF(OR(M34="Not tested",N34="Not tested"),"Not tested",IF(OR(M34="Partially effective",N34="Partially effective"),"Partially effective","Effective"))))</f>
        <v/>
      </c>
      <c r="P34" s="5"/>
      <c r="Q34" s="5"/>
      <c r="R34" s="6" t="str">
        <f aca="false">IF(OR(P34="",Q34=""),"",P34*Q34)</f>
        <v/>
      </c>
      <c r="S34" s="6" t="str">
        <f aca="false">IF(R34="","",IF(R34&gt;=15,"Extreme",IF(R34&gt;=10,"High",IF(R34&gt;=5,"Medium","Low"))))</f>
        <v/>
      </c>
      <c r="T34" s="5"/>
      <c r="U34" s="5"/>
      <c r="V34" s="5"/>
      <c r="W34" s="10"/>
      <c r="X34" s="5"/>
      <c r="Y34" s="10"/>
    </row>
    <row r="35" customFormat="false" ht="15" hidden="false" customHeight="false" outlineLevel="0" collapsed="false">
      <c r="A35" s="5"/>
      <c r="B35" s="5"/>
      <c r="C35" s="5"/>
      <c r="D35" s="5"/>
      <c r="E35" s="5"/>
      <c r="F35" s="5"/>
      <c r="G35" s="5"/>
      <c r="H35" s="6" t="str">
        <f aca="false">IF(OR(F35="",G35=""),"",F35*G35)</f>
        <v/>
      </c>
      <c r="I35" s="6" t="str">
        <f aca="false">IF(H35="","",IF(H35&gt;=15,"Extreme",IF(H35&gt;=10,"High",IF(H35&gt;=5,"Medium","Low"))))</f>
        <v/>
      </c>
      <c r="J35" s="5"/>
      <c r="K35" s="5"/>
      <c r="L35" s="5"/>
      <c r="M35" s="5"/>
      <c r="N35" s="5"/>
      <c r="O35" s="6" t="str">
        <f aca="false">IF(OR(M35="",N35=""),"",IF(OR(M35="Ineffective",N35="Ineffective"),"Ineffective",IF(OR(M35="Not tested",N35="Not tested"),"Not tested",IF(OR(M35="Partially effective",N35="Partially effective"),"Partially effective","Effective"))))</f>
        <v/>
      </c>
      <c r="P35" s="5"/>
      <c r="Q35" s="5"/>
      <c r="R35" s="6" t="str">
        <f aca="false">IF(OR(P35="",Q35=""),"",P35*Q35)</f>
        <v/>
      </c>
      <c r="S35" s="6" t="str">
        <f aca="false">IF(R35="","",IF(R35&gt;=15,"Extreme",IF(R35&gt;=10,"High",IF(R35&gt;=5,"Medium","Low"))))</f>
        <v/>
      </c>
      <c r="T35" s="5"/>
      <c r="U35" s="5"/>
      <c r="V35" s="5"/>
      <c r="W35" s="10"/>
      <c r="X35" s="5"/>
      <c r="Y35" s="10"/>
    </row>
    <row r="36" customFormat="false" ht="15" hidden="false" customHeight="false" outlineLevel="0" collapsed="false">
      <c r="A36" s="5"/>
      <c r="B36" s="5"/>
      <c r="C36" s="5"/>
      <c r="D36" s="5"/>
      <c r="E36" s="5"/>
      <c r="F36" s="5"/>
      <c r="G36" s="5"/>
      <c r="H36" s="6" t="str">
        <f aca="false">IF(OR(F36="",G36=""),"",F36*G36)</f>
        <v/>
      </c>
      <c r="I36" s="6" t="str">
        <f aca="false">IF(H36="","",IF(H36&gt;=15,"Extreme",IF(H36&gt;=10,"High",IF(H36&gt;=5,"Medium","Low"))))</f>
        <v/>
      </c>
      <c r="J36" s="5"/>
      <c r="K36" s="5"/>
      <c r="L36" s="5"/>
      <c r="M36" s="5"/>
      <c r="N36" s="5"/>
      <c r="O36" s="6" t="str">
        <f aca="false">IF(OR(M36="",N36=""),"",IF(OR(M36="Ineffective",N36="Ineffective"),"Ineffective",IF(OR(M36="Not tested",N36="Not tested"),"Not tested",IF(OR(M36="Partially effective",N36="Partially effective"),"Partially effective","Effective"))))</f>
        <v/>
      </c>
      <c r="P36" s="5"/>
      <c r="Q36" s="5"/>
      <c r="R36" s="6" t="str">
        <f aca="false">IF(OR(P36="",Q36=""),"",P36*Q36)</f>
        <v/>
      </c>
      <c r="S36" s="6" t="str">
        <f aca="false">IF(R36="","",IF(R36&gt;=15,"Extreme",IF(R36&gt;=10,"High",IF(R36&gt;=5,"Medium","Low"))))</f>
        <v/>
      </c>
      <c r="T36" s="5"/>
      <c r="U36" s="5"/>
      <c r="V36" s="5"/>
      <c r="W36" s="10"/>
      <c r="X36" s="5"/>
      <c r="Y36" s="10"/>
    </row>
    <row r="37" customFormat="false" ht="15" hidden="false" customHeight="false" outlineLevel="0" collapsed="false">
      <c r="A37" s="5"/>
      <c r="B37" s="5"/>
      <c r="C37" s="5"/>
      <c r="D37" s="5"/>
      <c r="E37" s="5"/>
      <c r="F37" s="5"/>
      <c r="G37" s="5"/>
      <c r="H37" s="6" t="str">
        <f aca="false">IF(OR(F37="",G37=""),"",F37*G37)</f>
        <v/>
      </c>
      <c r="I37" s="6" t="str">
        <f aca="false">IF(H37="","",IF(H37&gt;=15,"Extreme",IF(H37&gt;=10,"High",IF(H37&gt;=5,"Medium","Low"))))</f>
        <v/>
      </c>
      <c r="J37" s="5"/>
      <c r="K37" s="5"/>
      <c r="L37" s="5"/>
      <c r="M37" s="5"/>
      <c r="N37" s="5"/>
      <c r="O37" s="6" t="str">
        <f aca="false">IF(OR(M37="",N37=""),"",IF(OR(M37="Ineffective",N37="Ineffective"),"Ineffective",IF(OR(M37="Not tested",N37="Not tested"),"Not tested",IF(OR(M37="Partially effective",N37="Partially effective"),"Partially effective","Effective"))))</f>
        <v/>
      </c>
      <c r="P37" s="5"/>
      <c r="Q37" s="5"/>
      <c r="R37" s="6" t="str">
        <f aca="false">IF(OR(P37="",Q37=""),"",P37*Q37)</f>
        <v/>
      </c>
      <c r="S37" s="6" t="str">
        <f aca="false">IF(R37="","",IF(R37&gt;=15,"Extreme",IF(R37&gt;=10,"High",IF(R37&gt;=5,"Medium","Low"))))</f>
        <v/>
      </c>
      <c r="T37" s="5"/>
      <c r="U37" s="5"/>
      <c r="V37" s="5"/>
      <c r="W37" s="10"/>
      <c r="X37" s="5"/>
      <c r="Y37" s="10"/>
    </row>
    <row r="38" customFormat="false" ht="15" hidden="false" customHeight="false" outlineLevel="0" collapsed="false">
      <c r="A38" s="5"/>
      <c r="B38" s="5"/>
      <c r="C38" s="5"/>
      <c r="D38" s="5"/>
      <c r="E38" s="5"/>
      <c r="F38" s="5"/>
      <c r="G38" s="5"/>
      <c r="H38" s="6" t="str">
        <f aca="false">IF(OR(F38="",G38=""),"",F38*G38)</f>
        <v/>
      </c>
      <c r="I38" s="6" t="str">
        <f aca="false">IF(H38="","",IF(H38&gt;=15,"Extreme",IF(H38&gt;=10,"High",IF(H38&gt;=5,"Medium","Low"))))</f>
        <v/>
      </c>
      <c r="J38" s="5"/>
      <c r="K38" s="5"/>
      <c r="L38" s="5"/>
      <c r="M38" s="5"/>
      <c r="N38" s="5"/>
      <c r="O38" s="6" t="str">
        <f aca="false">IF(OR(M38="",N38=""),"",IF(OR(M38="Ineffective",N38="Ineffective"),"Ineffective",IF(OR(M38="Not tested",N38="Not tested"),"Not tested",IF(OR(M38="Partially effective",N38="Partially effective"),"Partially effective","Effective"))))</f>
        <v/>
      </c>
      <c r="P38" s="5"/>
      <c r="Q38" s="5"/>
      <c r="R38" s="6" t="str">
        <f aca="false">IF(OR(P38="",Q38=""),"",P38*Q38)</f>
        <v/>
      </c>
      <c r="S38" s="6" t="str">
        <f aca="false">IF(R38="","",IF(R38&gt;=15,"Extreme",IF(R38&gt;=10,"High",IF(R38&gt;=5,"Medium","Low"))))</f>
        <v/>
      </c>
      <c r="T38" s="5"/>
      <c r="U38" s="5"/>
      <c r="V38" s="5"/>
      <c r="W38" s="10"/>
      <c r="X38" s="5"/>
      <c r="Y38" s="10"/>
    </row>
    <row r="39" customFormat="false" ht="15" hidden="false" customHeight="false" outlineLevel="0" collapsed="false">
      <c r="A39" s="5"/>
      <c r="B39" s="5"/>
      <c r="C39" s="5"/>
      <c r="D39" s="5"/>
      <c r="E39" s="5"/>
      <c r="F39" s="5"/>
      <c r="G39" s="5"/>
      <c r="H39" s="6" t="str">
        <f aca="false">IF(OR(F39="",G39=""),"",F39*G39)</f>
        <v/>
      </c>
      <c r="I39" s="6" t="str">
        <f aca="false">IF(H39="","",IF(H39&gt;=15,"Extreme",IF(H39&gt;=10,"High",IF(H39&gt;=5,"Medium","Low"))))</f>
        <v/>
      </c>
      <c r="J39" s="5"/>
      <c r="K39" s="5"/>
      <c r="L39" s="5"/>
      <c r="M39" s="5"/>
      <c r="N39" s="5"/>
      <c r="O39" s="6" t="str">
        <f aca="false">IF(OR(M39="",N39=""),"",IF(OR(M39="Ineffective",N39="Ineffective"),"Ineffective",IF(OR(M39="Not tested",N39="Not tested"),"Not tested",IF(OR(M39="Partially effective",N39="Partially effective"),"Partially effective","Effective"))))</f>
        <v/>
      </c>
      <c r="P39" s="5"/>
      <c r="Q39" s="5"/>
      <c r="R39" s="6" t="str">
        <f aca="false">IF(OR(P39="",Q39=""),"",P39*Q39)</f>
        <v/>
      </c>
      <c r="S39" s="6" t="str">
        <f aca="false">IF(R39="","",IF(R39&gt;=15,"Extreme",IF(R39&gt;=10,"High",IF(R39&gt;=5,"Medium","Low"))))</f>
        <v/>
      </c>
      <c r="T39" s="5"/>
      <c r="U39" s="5"/>
      <c r="V39" s="5"/>
      <c r="W39" s="10"/>
      <c r="X39" s="5"/>
      <c r="Y39" s="10"/>
    </row>
    <row r="40" customFormat="false" ht="15" hidden="false" customHeight="false" outlineLevel="0" collapsed="false">
      <c r="A40" s="5"/>
      <c r="B40" s="5"/>
      <c r="C40" s="5"/>
      <c r="D40" s="5"/>
      <c r="E40" s="5"/>
      <c r="F40" s="5"/>
      <c r="G40" s="5"/>
      <c r="H40" s="6" t="str">
        <f aca="false">IF(OR(F40="",G40=""),"",F40*G40)</f>
        <v/>
      </c>
      <c r="I40" s="6" t="str">
        <f aca="false">IF(H40="","",IF(H40&gt;=15,"Extreme",IF(H40&gt;=10,"High",IF(H40&gt;=5,"Medium","Low"))))</f>
        <v/>
      </c>
      <c r="J40" s="5"/>
      <c r="K40" s="5"/>
      <c r="L40" s="5"/>
      <c r="M40" s="5"/>
      <c r="N40" s="5"/>
      <c r="O40" s="6" t="str">
        <f aca="false">IF(OR(M40="",N40=""),"",IF(OR(M40="Ineffective",N40="Ineffective"),"Ineffective",IF(OR(M40="Not tested",N40="Not tested"),"Not tested",IF(OR(M40="Partially effective",N40="Partially effective"),"Partially effective","Effective"))))</f>
        <v/>
      </c>
      <c r="P40" s="5"/>
      <c r="Q40" s="5"/>
      <c r="R40" s="6" t="str">
        <f aca="false">IF(OR(P40="",Q40=""),"",P40*Q40)</f>
        <v/>
      </c>
      <c r="S40" s="6" t="str">
        <f aca="false">IF(R40="","",IF(R40&gt;=15,"Extreme",IF(R40&gt;=10,"High",IF(R40&gt;=5,"Medium","Low"))))</f>
        <v/>
      </c>
      <c r="T40" s="5"/>
      <c r="U40" s="5"/>
      <c r="V40" s="5"/>
      <c r="W40" s="10"/>
      <c r="X40" s="5"/>
      <c r="Y40" s="10"/>
    </row>
    <row r="41" customFormat="false" ht="15" hidden="false" customHeight="false" outlineLevel="0" collapsed="false">
      <c r="A41" s="5"/>
      <c r="B41" s="5"/>
      <c r="C41" s="5"/>
      <c r="D41" s="5"/>
      <c r="E41" s="5"/>
      <c r="F41" s="5"/>
      <c r="G41" s="5"/>
      <c r="H41" s="6" t="str">
        <f aca="false">IF(OR(F41="",G41=""),"",F41*G41)</f>
        <v/>
      </c>
      <c r="I41" s="6" t="str">
        <f aca="false">IF(H41="","",IF(H41&gt;=15,"Extreme",IF(H41&gt;=10,"High",IF(H41&gt;=5,"Medium","Low"))))</f>
        <v/>
      </c>
      <c r="J41" s="5"/>
      <c r="K41" s="5"/>
      <c r="L41" s="5"/>
      <c r="M41" s="5"/>
      <c r="N41" s="5"/>
      <c r="O41" s="6" t="str">
        <f aca="false">IF(OR(M41="",N41=""),"",IF(OR(M41="Ineffective",N41="Ineffective"),"Ineffective",IF(OR(M41="Not tested",N41="Not tested"),"Not tested",IF(OR(M41="Partially effective",N41="Partially effective"),"Partially effective","Effective"))))</f>
        <v/>
      </c>
      <c r="P41" s="5"/>
      <c r="Q41" s="5"/>
      <c r="R41" s="6" t="str">
        <f aca="false">IF(OR(P41="",Q41=""),"",P41*Q41)</f>
        <v/>
      </c>
      <c r="S41" s="6" t="str">
        <f aca="false">IF(R41="","",IF(R41&gt;=15,"Extreme",IF(R41&gt;=10,"High",IF(R41&gt;=5,"Medium","Low"))))</f>
        <v/>
      </c>
      <c r="T41" s="5"/>
      <c r="U41" s="5"/>
      <c r="V41" s="5"/>
      <c r="W41" s="10"/>
      <c r="X41" s="5"/>
      <c r="Y41" s="10"/>
    </row>
    <row r="42" customFormat="false" ht="15" hidden="false" customHeight="false" outlineLevel="0" collapsed="false">
      <c r="A42" s="5"/>
      <c r="B42" s="5"/>
      <c r="C42" s="5"/>
      <c r="D42" s="5"/>
      <c r="E42" s="5"/>
      <c r="F42" s="5"/>
      <c r="G42" s="5"/>
      <c r="H42" s="6" t="str">
        <f aca="false">IF(OR(F42="",G42=""),"",F42*G42)</f>
        <v/>
      </c>
      <c r="I42" s="6" t="str">
        <f aca="false">IF(H42="","",IF(H42&gt;=15,"Extreme",IF(H42&gt;=10,"High",IF(H42&gt;=5,"Medium","Low"))))</f>
        <v/>
      </c>
      <c r="J42" s="5"/>
      <c r="K42" s="5"/>
      <c r="L42" s="5"/>
      <c r="M42" s="5"/>
      <c r="N42" s="5"/>
      <c r="O42" s="6" t="str">
        <f aca="false">IF(OR(M42="",N42=""),"",IF(OR(M42="Ineffective",N42="Ineffective"),"Ineffective",IF(OR(M42="Not tested",N42="Not tested"),"Not tested",IF(OR(M42="Partially effective",N42="Partially effective"),"Partially effective","Effective"))))</f>
        <v/>
      </c>
      <c r="P42" s="5"/>
      <c r="Q42" s="5"/>
      <c r="R42" s="6" t="str">
        <f aca="false">IF(OR(P42="",Q42=""),"",P42*Q42)</f>
        <v/>
      </c>
      <c r="S42" s="6" t="str">
        <f aca="false">IF(R42="","",IF(R42&gt;=15,"Extreme",IF(R42&gt;=10,"High",IF(R42&gt;=5,"Medium","Low"))))</f>
        <v/>
      </c>
      <c r="T42" s="5"/>
      <c r="U42" s="5"/>
      <c r="V42" s="5"/>
      <c r="W42" s="10"/>
      <c r="X42" s="5"/>
      <c r="Y42" s="10"/>
    </row>
    <row r="43" customFormat="false" ht="15" hidden="false" customHeight="false" outlineLevel="0" collapsed="false">
      <c r="A43" s="5"/>
      <c r="B43" s="5"/>
      <c r="C43" s="5"/>
      <c r="D43" s="5"/>
      <c r="E43" s="5"/>
      <c r="F43" s="5"/>
      <c r="G43" s="5"/>
      <c r="H43" s="6" t="str">
        <f aca="false">IF(OR(F43="",G43=""),"",F43*G43)</f>
        <v/>
      </c>
      <c r="I43" s="6" t="str">
        <f aca="false">IF(H43="","",IF(H43&gt;=15,"Extreme",IF(H43&gt;=10,"High",IF(H43&gt;=5,"Medium","Low"))))</f>
        <v/>
      </c>
      <c r="J43" s="5"/>
      <c r="K43" s="5"/>
      <c r="L43" s="5"/>
      <c r="M43" s="5"/>
      <c r="N43" s="5"/>
      <c r="O43" s="6" t="str">
        <f aca="false">IF(OR(M43="",N43=""),"",IF(OR(M43="Ineffective",N43="Ineffective"),"Ineffective",IF(OR(M43="Not tested",N43="Not tested"),"Not tested",IF(OR(M43="Partially effective",N43="Partially effective"),"Partially effective","Effective"))))</f>
        <v/>
      </c>
      <c r="P43" s="5"/>
      <c r="Q43" s="5"/>
      <c r="R43" s="6" t="str">
        <f aca="false">IF(OR(P43="",Q43=""),"",P43*Q43)</f>
        <v/>
      </c>
      <c r="S43" s="6" t="str">
        <f aca="false">IF(R43="","",IF(R43&gt;=15,"Extreme",IF(R43&gt;=10,"High",IF(R43&gt;=5,"Medium","Low"))))</f>
        <v/>
      </c>
      <c r="T43" s="5"/>
      <c r="U43" s="5"/>
      <c r="V43" s="5"/>
      <c r="W43" s="10"/>
      <c r="X43" s="5"/>
      <c r="Y43" s="10"/>
    </row>
    <row r="44" customFormat="false" ht="15" hidden="false" customHeight="false" outlineLevel="0" collapsed="false">
      <c r="A44" s="5"/>
      <c r="B44" s="5"/>
      <c r="C44" s="5"/>
      <c r="D44" s="5"/>
      <c r="E44" s="5"/>
      <c r="F44" s="5"/>
      <c r="G44" s="5"/>
      <c r="H44" s="6" t="str">
        <f aca="false">IF(OR(F44="",G44=""),"",F44*G44)</f>
        <v/>
      </c>
      <c r="I44" s="6" t="str">
        <f aca="false">IF(H44="","",IF(H44&gt;=15,"Extreme",IF(H44&gt;=10,"High",IF(H44&gt;=5,"Medium","Low"))))</f>
        <v/>
      </c>
      <c r="J44" s="5"/>
      <c r="K44" s="5"/>
      <c r="L44" s="5"/>
      <c r="M44" s="5"/>
      <c r="N44" s="5"/>
      <c r="O44" s="6" t="str">
        <f aca="false">IF(OR(M44="",N44=""),"",IF(OR(M44="Ineffective",N44="Ineffective"),"Ineffective",IF(OR(M44="Not tested",N44="Not tested"),"Not tested",IF(OR(M44="Partially effective",N44="Partially effective"),"Partially effective","Effective"))))</f>
        <v/>
      </c>
      <c r="P44" s="5"/>
      <c r="Q44" s="5"/>
      <c r="R44" s="6" t="str">
        <f aca="false">IF(OR(P44="",Q44=""),"",P44*Q44)</f>
        <v/>
      </c>
      <c r="S44" s="6" t="str">
        <f aca="false">IF(R44="","",IF(R44&gt;=15,"Extreme",IF(R44&gt;=10,"High",IF(R44&gt;=5,"Medium","Low"))))</f>
        <v/>
      </c>
      <c r="T44" s="5"/>
      <c r="U44" s="5"/>
      <c r="V44" s="5"/>
      <c r="W44" s="10"/>
      <c r="X44" s="5"/>
      <c r="Y44" s="10"/>
    </row>
    <row r="45" customFormat="false" ht="15" hidden="false" customHeight="false" outlineLevel="0" collapsed="false">
      <c r="A45" s="5"/>
      <c r="B45" s="5"/>
      <c r="C45" s="5"/>
      <c r="D45" s="5"/>
      <c r="E45" s="5"/>
      <c r="F45" s="5"/>
      <c r="G45" s="5"/>
      <c r="H45" s="6" t="str">
        <f aca="false">IF(OR(F45="",G45=""),"",F45*G45)</f>
        <v/>
      </c>
      <c r="I45" s="6" t="str">
        <f aca="false">IF(H45="","",IF(H45&gt;=15,"Extreme",IF(H45&gt;=10,"High",IF(H45&gt;=5,"Medium","Low"))))</f>
        <v/>
      </c>
      <c r="J45" s="5"/>
      <c r="K45" s="5"/>
      <c r="L45" s="5"/>
      <c r="M45" s="5"/>
      <c r="N45" s="5"/>
      <c r="O45" s="6" t="str">
        <f aca="false">IF(OR(M45="",N45=""),"",IF(OR(M45="Ineffective",N45="Ineffective"),"Ineffective",IF(OR(M45="Not tested",N45="Not tested"),"Not tested",IF(OR(M45="Partially effective",N45="Partially effective"),"Partially effective","Effective"))))</f>
        <v/>
      </c>
      <c r="P45" s="5"/>
      <c r="Q45" s="5"/>
      <c r="R45" s="6" t="str">
        <f aca="false">IF(OR(P45="",Q45=""),"",P45*Q45)</f>
        <v/>
      </c>
      <c r="S45" s="6" t="str">
        <f aca="false">IF(R45="","",IF(R45&gt;=15,"Extreme",IF(R45&gt;=10,"High",IF(R45&gt;=5,"Medium","Low"))))</f>
        <v/>
      </c>
      <c r="T45" s="5"/>
      <c r="U45" s="5"/>
      <c r="V45" s="5"/>
      <c r="W45" s="10"/>
      <c r="X45" s="5"/>
      <c r="Y45" s="10"/>
    </row>
    <row r="46" customFormat="false" ht="15" hidden="false" customHeight="false" outlineLevel="0" collapsed="false">
      <c r="A46" s="5"/>
      <c r="B46" s="5"/>
      <c r="C46" s="5"/>
      <c r="D46" s="5"/>
      <c r="E46" s="5"/>
      <c r="F46" s="5"/>
      <c r="G46" s="5"/>
      <c r="H46" s="6" t="str">
        <f aca="false">IF(OR(F46="",G46=""),"",F46*G46)</f>
        <v/>
      </c>
      <c r="I46" s="6" t="str">
        <f aca="false">IF(H46="","",IF(H46&gt;=15,"Extreme",IF(H46&gt;=10,"High",IF(H46&gt;=5,"Medium","Low"))))</f>
        <v/>
      </c>
      <c r="J46" s="5"/>
      <c r="K46" s="5"/>
      <c r="L46" s="5"/>
      <c r="M46" s="5"/>
      <c r="N46" s="5"/>
      <c r="O46" s="6" t="str">
        <f aca="false">IF(OR(M46="",N46=""),"",IF(OR(M46="Ineffective",N46="Ineffective"),"Ineffective",IF(OR(M46="Not tested",N46="Not tested"),"Not tested",IF(OR(M46="Partially effective",N46="Partially effective"),"Partially effective","Effective"))))</f>
        <v/>
      </c>
      <c r="P46" s="5"/>
      <c r="Q46" s="5"/>
      <c r="R46" s="6" t="str">
        <f aca="false">IF(OR(P46="",Q46=""),"",P46*Q46)</f>
        <v/>
      </c>
      <c r="S46" s="6" t="str">
        <f aca="false">IF(R46="","",IF(R46&gt;=15,"Extreme",IF(R46&gt;=10,"High",IF(R46&gt;=5,"Medium","Low"))))</f>
        <v/>
      </c>
      <c r="T46" s="5"/>
      <c r="U46" s="5"/>
      <c r="V46" s="5"/>
      <c r="W46" s="10"/>
      <c r="X46" s="5"/>
      <c r="Y46" s="10"/>
    </row>
    <row r="47" customFormat="false" ht="15" hidden="false" customHeight="false" outlineLevel="0" collapsed="false">
      <c r="A47" s="5"/>
      <c r="B47" s="5"/>
      <c r="C47" s="5"/>
      <c r="D47" s="5"/>
      <c r="E47" s="5"/>
      <c r="F47" s="5"/>
      <c r="G47" s="5"/>
      <c r="H47" s="6" t="str">
        <f aca="false">IF(OR(F47="",G47=""),"",F47*G47)</f>
        <v/>
      </c>
      <c r="I47" s="6" t="str">
        <f aca="false">IF(H47="","",IF(H47&gt;=15,"Extreme",IF(H47&gt;=10,"High",IF(H47&gt;=5,"Medium","Low"))))</f>
        <v/>
      </c>
      <c r="J47" s="5"/>
      <c r="K47" s="5"/>
      <c r="L47" s="5"/>
      <c r="M47" s="5"/>
      <c r="N47" s="5"/>
      <c r="O47" s="6" t="str">
        <f aca="false">IF(OR(M47="",N47=""),"",IF(OR(M47="Ineffective",N47="Ineffective"),"Ineffective",IF(OR(M47="Not tested",N47="Not tested"),"Not tested",IF(OR(M47="Partially effective",N47="Partially effective"),"Partially effective","Effective"))))</f>
        <v/>
      </c>
      <c r="P47" s="5"/>
      <c r="Q47" s="5"/>
      <c r="R47" s="6" t="str">
        <f aca="false">IF(OR(P47="",Q47=""),"",P47*Q47)</f>
        <v/>
      </c>
      <c r="S47" s="6" t="str">
        <f aca="false">IF(R47="","",IF(R47&gt;=15,"Extreme",IF(R47&gt;=10,"High",IF(R47&gt;=5,"Medium","Low"))))</f>
        <v/>
      </c>
      <c r="T47" s="5"/>
      <c r="U47" s="5"/>
      <c r="V47" s="5"/>
      <c r="W47" s="10"/>
      <c r="X47" s="5"/>
      <c r="Y47" s="10"/>
    </row>
    <row r="48" customFormat="false" ht="15" hidden="false" customHeight="false" outlineLevel="0" collapsed="false">
      <c r="A48" s="5"/>
      <c r="B48" s="5"/>
      <c r="C48" s="5"/>
      <c r="D48" s="5"/>
      <c r="E48" s="5"/>
      <c r="F48" s="5"/>
      <c r="G48" s="5"/>
      <c r="H48" s="6" t="str">
        <f aca="false">IF(OR(F48="",G48=""),"",F48*G48)</f>
        <v/>
      </c>
      <c r="I48" s="6" t="str">
        <f aca="false">IF(H48="","",IF(H48&gt;=15,"Extreme",IF(H48&gt;=10,"High",IF(H48&gt;=5,"Medium","Low"))))</f>
        <v/>
      </c>
      <c r="J48" s="5"/>
      <c r="K48" s="5"/>
      <c r="L48" s="5"/>
      <c r="M48" s="5"/>
      <c r="N48" s="5"/>
      <c r="O48" s="6" t="str">
        <f aca="false">IF(OR(M48="",N48=""),"",IF(OR(M48="Ineffective",N48="Ineffective"),"Ineffective",IF(OR(M48="Not tested",N48="Not tested"),"Not tested",IF(OR(M48="Partially effective",N48="Partially effective"),"Partially effective","Effective"))))</f>
        <v/>
      </c>
      <c r="P48" s="5"/>
      <c r="Q48" s="5"/>
      <c r="R48" s="6" t="str">
        <f aca="false">IF(OR(P48="",Q48=""),"",P48*Q48)</f>
        <v/>
      </c>
      <c r="S48" s="6" t="str">
        <f aca="false">IF(R48="","",IF(R48&gt;=15,"Extreme",IF(R48&gt;=10,"High",IF(R48&gt;=5,"Medium","Low"))))</f>
        <v/>
      </c>
      <c r="T48" s="5"/>
      <c r="U48" s="5"/>
      <c r="V48" s="5"/>
      <c r="W48" s="10"/>
      <c r="X48" s="5"/>
      <c r="Y48" s="10"/>
    </row>
    <row r="49" customFormat="false" ht="15" hidden="false" customHeight="false" outlineLevel="0" collapsed="false">
      <c r="A49" s="5"/>
      <c r="B49" s="5"/>
      <c r="C49" s="5"/>
      <c r="D49" s="5"/>
      <c r="E49" s="5"/>
      <c r="F49" s="5"/>
      <c r="G49" s="5"/>
      <c r="H49" s="6" t="str">
        <f aca="false">IF(OR(F49="",G49=""),"",F49*G49)</f>
        <v/>
      </c>
      <c r="I49" s="6" t="str">
        <f aca="false">IF(H49="","",IF(H49&gt;=15,"Extreme",IF(H49&gt;=10,"High",IF(H49&gt;=5,"Medium","Low"))))</f>
        <v/>
      </c>
      <c r="J49" s="5"/>
      <c r="K49" s="5"/>
      <c r="L49" s="5"/>
      <c r="M49" s="5"/>
      <c r="N49" s="5"/>
      <c r="O49" s="6" t="str">
        <f aca="false">IF(OR(M49="",N49=""),"",IF(OR(M49="Ineffective",N49="Ineffective"),"Ineffective",IF(OR(M49="Not tested",N49="Not tested"),"Not tested",IF(OR(M49="Partially effective",N49="Partially effective"),"Partially effective","Effective"))))</f>
        <v/>
      </c>
      <c r="P49" s="5"/>
      <c r="Q49" s="5"/>
      <c r="R49" s="6" t="str">
        <f aca="false">IF(OR(P49="",Q49=""),"",P49*Q49)</f>
        <v/>
      </c>
      <c r="S49" s="6" t="str">
        <f aca="false">IF(R49="","",IF(R49&gt;=15,"Extreme",IF(R49&gt;=10,"High",IF(R49&gt;=5,"Medium","Low"))))</f>
        <v/>
      </c>
      <c r="T49" s="5"/>
      <c r="U49" s="5"/>
      <c r="V49" s="5"/>
      <c r="W49" s="10"/>
      <c r="X49" s="5"/>
      <c r="Y49" s="10"/>
    </row>
    <row r="50" customFormat="false" ht="15" hidden="false" customHeight="false" outlineLevel="0" collapsed="false">
      <c r="A50" s="5"/>
      <c r="B50" s="5"/>
      <c r="C50" s="5"/>
      <c r="D50" s="5"/>
      <c r="E50" s="5"/>
      <c r="F50" s="5"/>
      <c r="G50" s="5"/>
      <c r="H50" s="6" t="str">
        <f aca="false">IF(OR(F50="",G50=""),"",F50*G50)</f>
        <v/>
      </c>
      <c r="I50" s="6" t="str">
        <f aca="false">IF(H50="","",IF(H50&gt;=15,"Extreme",IF(H50&gt;=10,"High",IF(H50&gt;=5,"Medium","Low"))))</f>
        <v/>
      </c>
      <c r="J50" s="5"/>
      <c r="K50" s="5"/>
      <c r="L50" s="5"/>
      <c r="M50" s="5"/>
      <c r="N50" s="5"/>
      <c r="O50" s="6" t="str">
        <f aca="false">IF(OR(M50="",N50=""),"",IF(OR(M50="Ineffective",N50="Ineffective"),"Ineffective",IF(OR(M50="Not tested",N50="Not tested"),"Not tested",IF(OR(M50="Partially effective",N50="Partially effective"),"Partially effective","Effective"))))</f>
        <v/>
      </c>
      <c r="P50" s="5"/>
      <c r="Q50" s="5"/>
      <c r="R50" s="6" t="str">
        <f aca="false">IF(OR(P50="",Q50=""),"",P50*Q50)</f>
        <v/>
      </c>
      <c r="S50" s="6" t="str">
        <f aca="false">IF(R50="","",IF(R50&gt;=15,"Extreme",IF(R50&gt;=10,"High",IF(R50&gt;=5,"Medium","Low"))))</f>
        <v/>
      </c>
      <c r="T50" s="5"/>
      <c r="U50" s="5"/>
      <c r="V50" s="5"/>
      <c r="W50" s="10"/>
      <c r="X50" s="5"/>
      <c r="Y50" s="10"/>
    </row>
    <row r="51" customFormat="false" ht="15" hidden="false" customHeight="false" outlineLevel="0" collapsed="false">
      <c r="A51" s="5"/>
      <c r="B51" s="5"/>
      <c r="C51" s="5"/>
      <c r="D51" s="5"/>
      <c r="E51" s="5"/>
      <c r="F51" s="5"/>
      <c r="G51" s="5"/>
      <c r="H51" s="6" t="str">
        <f aca="false">IF(OR(F51="",G51=""),"",F51*G51)</f>
        <v/>
      </c>
      <c r="I51" s="6" t="str">
        <f aca="false">IF(H51="","",IF(H51&gt;=15,"Extreme",IF(H51&gt;=10,"High",IF(H51&gt;=5,"Medium","Low"))))</f>
        <v/>
      </c>
      <c r="J51" s="5"/>
      <c r="K51" s="5"/>
      <c r="L51" s="5"/>
      <c r="M51" s="5"/>
      <c r="N51" s="5"/>
      <c r="O51" s="6" t="str">
        <f aca="false">IF(OR(M51="",N51=""),"",IF(OR(M51="Ineffective",N51="Ineffective"),"Ineffective",IF(OR(M51="Not tested",N51="Not tested"),"Not tested",IF(OR(M51="Partially effective",N51="Partially effective"),"Partially effective","Effective"))))</f>
        <v/>
      </c>
      <c r="P51" s="5"/>
      <c r="Q51" s="5"/>
      <c r="R51" s="6" t="str">
        <f aca="false">IF(OR(P51="",Q51=""),"",P51*Q51)</f>
        <v/>
      </c>
      <c r="S51" s="6" t="str">
        <f aca="false">IF(R51="","",IF(R51&gt;=15,"Extreme",IF(R51&gt;=10,"High",IF(R51&gt;=5,"Medium","Low"))))</f>
        <v/>
      </c>
      <c r="T51" s="5"/>
      <c r="U51" s="5"/>
      <c r="V51" s="5"/>
      <c r="W51" s="10"/>
      <c r="X51" s="5"/>
      <c r="Y51" s="10"/>
    </row>
    <row r="52" customFormat="false" ht="15" hidden="false" customHeight="false" outlineLevel="0" collapsed="false">
      <c r="A52" s="5"/>
      <c r="B52" s="5"/>
      <c r="C52" s="5"/>
      <c r="D52" s="5"/>
      <c r="E52" s="5"/>
      <c r="F52" s="5"/>
      <c r="G52" s="5"/>
      <c r="H52" s="6" t="str">
        <f aca="false">IF(OR(F52="",G52=""),"",F52*G52)</f>
        <v/>
      </c>
      <c r="I52" s="6" t="str">
        <f aca="false">IF(H52="","",IF(H52&gt;=15,"Extreme",IF(H52&gt;=10,"High",IF(H52&gt;=5,"Medium","Low"))))</f>
        <v/>
      </c>
      <c r="J52" s="5"/>
      <c r="K52" s="5"/>
      <c r="L52" s="5"/>
      <c r="M52" s="5"/>
      <c r="N52" s="5"/>
      <c r="O52" s="6" t="str">
        <f aca="false">IF(OR(M52="",N52=""),"",IF(OR(M52="Ineffective",N52="Ineffective"),"Ineffective",IF(OR(M52="Not tested",N52="Not tested"),"Not tested",IF(OR(M52="Partially effective",N52="Partially effective"),"Partially effective","Effective"))))</f>
        <v/>
      </c>
      <c r="P52" s="5"/>
      <c r="Q52" s="5"/>
      <c r="R52" s="6" t="str">
        <f aca="false">IF(OR(P52="",Q52=""),"",P52*Q52)</f>
        <v/>
      </c>
      <c r="S52" s="6" t="str">
        <f aca="false">IF(R52="","",IF(R52&gt;=15,"Extreme",IF(R52&gt;=10,"High",IF(R52&gt;=5,"Medium","Low"))))</f>
        <v/>
      </c>
      <c r="T52" s="5"/>
      <c r="U52" s="5"/>
      <c r="V52" s="5"/>
      <c r="W52" s="10"/>
      <c r="X52" s="5"/>
      <c r="Y52" s="10"/>
    </row>
    <row r="53" customFormat="false" ht="15" hidden="false" customHeight="false" outlineLevel="0" collapsed="false">
      <c r="A53" s="5"/>
      <c r="B53" s="5"/>
      <c r="C53" s="5"/>
      <c r="D53" s="5"/>
      <c r="E53" s="5"/>
      <c r="F53" s="5"/>
      <c r="G53" s="5"/>
      <c r="H53" s="6" t="str">
        <f aca="false">IF(OR(F53="",G53=""),"",F53*G53)</f>
        <v/>
      </c>
      <c r="I53" s="6" t="str">
        <f aca="false">IF(H53="","",IF(H53&gt;=15,"Extreme",IF(H53&gt;=10,"High",IF(H53&gt;=5,"Medium","Low"))))</f>
        <v/>
      </c>
      <c r="J53" s="5"/>
      <c r="K53" s="5"/>
      <c r="L53" s="5"/>
      <c r="M53" s="5"/>
      <c r="N53" s="5"/>
      <c r="O53" s="6" t="str">
        <f aca="false">IF(OR(M53="",N53=""),"",IF(OR(M53="Ineffective",N53="Ineffective"),"Ineffective",IF(OR(M53="Not tested",N53="Not tested"),"Not tested",IF(OR(M53="Partially effective",N53="Partially effective"),"Partially effective","Effective"))))</f>
        <v/>
      </c>
      <c r="P53" s="5"/>
      <c r="Q53" s="5"/>
      <c r="R53" s="6" t="str">
        <f aca="false">IF(OR(P53="",Q53=""),"",P53*Q53)</f>
        <v/>
      </c>
      <c r="S53" s="6" t="str">
        <f aca="false">IF(R53="","",IF(R53&gt;=15,"Extreme",IF(R53&gt;=10,"High",IF(R53&gt;=5,"Medium","Low"))))</f>
        <v/>
      </c>
      <c r="T53" s="5"/>
      <c r="U53" s="5"/>
      <c r="V53" s="5"/>
      <c r="W53" s="10"/>
      <c r="X53" s="5"/>
      <c r="Y53" s="10"/>
    </row>
    <row r="54" customFormat="false" ht="15" hidden="false" customHeight="false" outlineLevel="0" collapsed="false">
      <c r="A54" s="5"/>
      <c r="B54" s="5"/>
      <c r="C54" s="5"/>
      <c r="D54" s="5"/>
      <c r="E54" s="5"/>
      <c r="F54" s="5"/>
      <c r="G54" s="5"/>
      <c r="H54" s="6" t="str">
        <f aca="false">IF(OR(F54="",G54=""),"",F54*G54)</f>
        <v/>
      </c>
      <c r="I54" s="6" t="str">
        <f aca="false">IF(H54="","",IF(H54&gt;=15,"Extreme",IF(H54&gt;=10,"High",IF(H54&gt;=5,"Medium","Low"))))</f>
        <v/>
      </c>
      <c r="J54" s="5"/>
      <c r="K54" s="5"/>
      <c r="L54" s="5"/>
      <c r="M54" s="5"/>
      <c r="N54" s="5"/>
      <c r="O54" s="6" t="str">
        <f aca="false">IF(OR(M54="",N54=""),"",IF(OR(M54="Ineffective",N54="Ineffective"),"Ineffective",IF(OR(M54="Not tested",N54="Not tested"),"Not tested",IF(OR(M54="Partially effective",N54="Partially effective"),"Partially effective","Effective"))))</f>
        <v/>
      </c>
      <c r="P54" s="5"/>
      <c r="Q54" s="5"/>
      <c r="R54" s="6" t="str">
        <f aca="false">IF(OR(P54="",Q54=""),"",P54*Q54)</f>
        <v/>
      </c>
      <c r="S54" s="6" t="str">
        <f aca="false">IF(R54="","",IF(R54&gt;=15,"Extreme",IF(R54&gt;=10,"High",IF(R54&gt;=5,"Medium","Low"))))</f>
        <v/>
      </c>
      <c r="T54" s="5"/>
      <c r="U54" s="5"/>
      <c r="V54" s="5"/>
      <c r="W54" s="10"/>
      <c r="X54" s="5"/>
      <c r="Y54" s="10"/>
    </row>
    <row r="55" customFormat="false" ht="15" hidden="false" customHeight="false" outlineLevel="0" collapsed="false">
      <c r="A55" s="5"/>
      <c r="B55" s="5"/>
      <c r="C55" s="5"/>
      <c r="D55" s="5"/>
      <c r="E55" s="5"/>
      <c r="F55" s="5"/>
      <c r="G55" s="5"/>
      <c r="H55" s="6" t="str">
        <f aca="false">IF(OR(F55="",G55=""),"",F55*G55)</f>
        <v/>
      </c>
      <c r="I55" s="6" t="str">
        <f aca="false">IF(H55="","",IF(H55&gt;=15,"Extreme",IF(H55&gt;=10,"High",IF(H55&gt;=5,"Medium","Low"))))</f>
        <v/>
      </c>
      <c r="J55" s="5"/>
      <c r="K55" s="5"/>
      <c r="L55" s="5"/>
      <c r="M55" s="5"/>
      <c r="N55" s="5"/>
      <c r="O55" s="6" t="str">
        <f aca="false">IF(OR(M55="",N55=""),"",IF(OR(M55="Ineffective",N55="Ineffective"),"Ineffective",IF(OR(M55="Not tested",N55="Not tested"),"Not tested",IF(OR(M55="Partially effective",N55="Partially effective"),"Partially effective","Effective"))))</f>
        <v/>
      </c>
      <c r="P55" s="5"/>
      <c r="Q55" s="5"/>
      <c r="R55" s="6" t="str">
        <f aca="false">IF(OR(P55="",Q55=""),"",P55*Q55)</f>
        <v/>
      </c>
      <c r="S55" s="6" t="str">
        <f aca="false">IF(R55="","",IF(R55&gt;=15,"Extreme",IF(R55&gt;=10,"High",IF(R55&gt;=5,"Medium","Low"))))</f>
        <v/>
      </c>
      <c r="T55" s="5"/>
      <c r="U55" s="5"/>
      <c r="V55" s="5"/>
      <c r="W55" s="10"/>
      <c r="X55" s="5"/>
      <c r="Y55" s="10"/>
    </row>
    <row r="56" customFormat="false" ht="15" hidden="false" customHeight="false" outlineLevel="0" collapsed="false">
      <c r="A56" s="5"/>
      <c r="B56" s="5"/>
      <c r="C56" s="5"/>
      <c r="D56" s="5"/>
      <c r="E56" s="5"/>
      <c r="F56" s="5"/>
      <c r="G56" s="5"/>
      <c r="H56" s="6" t="str">
        <f aca="false">IF(OR(F56="",G56=""),"",F56*G56)</f>
        <v/>
      </c>
      <c r="I56" s="6" t="str">
        <f aca="false">IF(H56="","",IF(H56&gt;=15,"Extreme",IF(H56&gt;=10,"High",IF(H56&gt;=5,"Medium","Low"))))</f>
        <v/>
      </c>
      <c r="J56" s="5"/>
      <c r="K56" s="5"/>
      <c r="L56" s="5"/>
      <c r="M56" s="5"/>
      <c r="N56" s="5"/>
      <c r="O56" s="6" t="str">
        <f aca="false">IF(OR(M56="",N56=""),"",IF(OR(M56="Ineffective",N56="Ineffective"),"Ineffective",IF(OR(M56="Not tested",N56="Not tested"),"Not tested",IF(OR(M56="Partially effective",N56="Partially effective"),"Partially effective","Effective"))))</f>
        <v/>
      </c>
      <c r="P56" s="5"/>
      <c r="Q56" s="5"/>
      <c r="R56" s="6" t="str">
        <f aca="false">IF(OR(P56="",Q56=""),"",P56*Q56)</f>
        <v/>
      </c>
      <c r="S56" s="6" t="str">
        <f aca="false">IF(R56="","",IF(R56&gt;=15,"Extreme",IF(R56&gt;=10,"High",IF(R56&gt;=5,"Medium","Low"))))</f>
        <v/>
      </c>
      <c r="T56" s="5"/>
      <c r="U56" s="5"/>
      <c r="V56" s="5"/>
      <c r="W56" s="10"/>
      <c r="X56" s="5"/>
      <c r="Y56" s="10"/>
    </row>
    <row r="57" customFormat="false" ht="15" hidden="false" customHeight="false" outlineLevel="0" collapsed="false">
      <c r="A57" s="5"/>
      <c r="B57" s="5"/>
      <c r="C57" s="5"/>
      <c r="D57" s="5"/>
      <c r="E57" s="5"/>
      <c r="F57" s="5"/>
      <c r="G57" s="5"/>
      <c r="H57" s="6" t="str">
        <f aca="false">IF(OR(F57="",G57=""),"",F57*G57)</f>
        <v/>
      </c>
      <c r="I57" s="6" t="str">
        <f aca="false">IF(H57="","",IF(H57&gt;=15,"Extreme",IF(H57&gt;=10,"High",IF(H57&gt;=5,"Medium","Low"))))</f>
        <v/>
      </c>
      <c r="J57" s="5"/>
      <c r="K57" s="5"/>
      <c r="L57" s="5"/>
      <c r="M57" s="5"/>
      <c r="N57" s="5"/>
      <c r="O57" s="6" t="str">
        <f aca="false">IF(OR(M57="",N57=""),"",IF(OR(M57="Ineffective",N57="Ineffective"),"Ineffective",IF(OR(M57="Not tested",N57="Not tested"),"Not tested",IF(OR(M57="Partially effective",N57="Partially effective"),"Partially effective","Effective"))))</f>
        <v/>
      </c>
      <c r="P57" s="5"/>
      <c r="Q57" s="5"/>
      <c r="R57" s="6" t="str">
        <f aca="false">IF(OR(P57="",Q57=""),"",P57*Q57)</f>
        <v/>
      </c>
      <c r="S57" s="6" t="str">
        <f aca="false">IF(R57="","",IF(R57&gt;=15,"Extreme",IF(R57&gt;=10,"High",IF(R57&gt;=5,"Medium","Low"))))</f>
        <v/>
      </c>
      <c r="T57" s="5"/>
      <c r="U57" s="5"/>
      <c r="V57" s="5"/>
      <c r="W57" s="10"/>
      <c r="X57" s="5"/>
      <c r="Y57" s="10"/>
    </row>
    <row r="58" customFormat="false" ht="15" hidden="false" customHeight="false" outlineLevel="0" collapsed="false">
      <c r="A58" s="5"/>
      <c r="B58" s="5"/>
      <c r="C58" s="5"/>
      <c r="D58" s="5"/>
      <c r="E58" s="5"/>
      <c r="F58" s="5"/>
      <c r="G58" s="5"/>
      <c r="H58" s="6" t="str">
        <f aca="false">IF(OR(F58="",G58=""),"",F58*G58)</f>
        <v/>
      </c>
      <c r="I58" s="6" t="str">
        <f aca="false">IF(H58="","",IF(H58&gt;=15,"Extreme",IF(H58&gt;=10,"High",IF(H58&gt;=5,"Medium","Low"))))</f>
        <v/>
      </c>
      <c r="J58" s="5"/>
      <c r="K58" s="5"/>
      <c r="L58" s="5"/>
      <c r="M58" s="5"/>
      <c r="N58" s="5"/>
      <c r="O58" s="6" t="str">
        <f aca="false">IF(OR(M58="",N58=""),"",IF(OR(M58="Ineffective",N58="Ineffective"),"Ineffective",IF(OR(M58="Not tested",N58="Not tested"),"Not tested",IF(OR(M58="Partially effective",N58="Partially effective"),"Partially effective","Effective"))))</f>
        <v/>
      </c>
      <c r="P58" s="5"/>
      <c r="Q58" s="5"/>
      <c r="R58" s="6" t="str">
        <f aca="false">IF(OR(P58="",Q58=""),"",P58*Q58)</f>
        <v/>
      </c>
      <c r="S58" s="6" t="str">
        <f aca="false">IF(R58="","",IF(R58&gt;=15,"Extreme",IF(R58&gt;=10,"High",IF(R58&gt;=5,"Medium","Low"))))</f>
        <v/>
      </c>
      <c r="T58" s="5"/>
      <c r="U58" s="5"/>
      <c r="V58" s="5"/>
      <c r="W58" s="10"/>
      <c r="X58" s="5"/>
      <c r="Y58" s="10"/>
    </row>
    <row r="59" customFormat="false" ht="15" hidden="false" customHeight="false" outlineLevel="0" collapsed="false">
      <c r="A59" s="5"/>
      <c r="B59" s="5"/>
      <c r="C59" s="5"/>
      <c r="D59" s="5"/>
      <c r="E59" s="5"/>
      <c r="F59" s="5"/>
      <c r="G59" s="5"/>
      <c r="H59" s="6" t="str">
        <f aca="false">IF(OR(F59="",G59=""),"",F59*G59)</f>
        <v/>
      </c>
      <c r="I59" s="6" t="str">
        <f aca="false">IF(H59="","",IF(H59&gt;=15,"Extreme",IF(H59&gt;=10,"High",IF(H59&gt;=5,"Medium","Low"))))</f>
        <v/>
      </c>
      <c r="J59" s="5"/>
      <c r="K59" s="5"/>
      <c r="L59" s="5"/>
      <c r="M59" s="5"/>
      <c r="N59" s="5"/>
      <c r="O59" s="6" t="str">
        <f aca="false">IF(OR(M59="",N59=""),"",IF(OR(M59="Ineffective",N59="Ineffective"),"Ineffective",IF(OR(M59="Not tested",N59="Not tested"),"Not tested",IF(OR(M59="Partially effective",N59="Partially effective"),"Partially effective","Effective"))))</f>
        <v/>
      </c>
      <c r="P59" s="5"/>
      <c r="Q59" s="5"/>
      <c r="R59" s="6" t="str">
        <f aca="false">IF(OR(P59="",Q59=""),"",P59*Q59)</f>
        <v/>
      </c>
      <c r="S59" s="6" t="str">
        <f aca="false">IF(R59="","",IF(R59&gt;=15,"Extreme",IF(R59&gt;=10,"High",IF(R59&gt;=5,"Medium","Low"))))</f>
        <v/>
      </c>
      <c r="T59" s="5"/>
      <c r="U59" s="5"/>
      <c r="V59" s="5"/>
      <c r="W59" s="10"/>
      <c r="X59" s="5"/>
      <c r="Y59" s="10"/>
    </row>
    <row r="60" customFormat="false" ht="15" hidden="false" customHeight="false" outlineLevel="0" collapsed="false">
      <c r="A60" s="5"/>
      <c r="B60" s="5"/>
      <c r="C60" s="5"/>
      <c r="D60" s="5"/>
      <c r="E60" s="5"/>
      <c r="F60" s="5"/>
      <c r="G60" s="5"/>
      <c r="H60" s="6" t="str">
        <f aca="false">IF(OR(F60="",G60=""),"",F60*G60)</f>
        <v/>
      </c>
      <c r="I60" s="6" t="str">
        <f aca="false">IF(H60="","",IF(H60&gt;=15,"Extreme",IF(H60&gt;=10,"High",IF(H60&gt;=5,"Medium","Low"))))</f>
        <v/>
      </c>
      <c r="J60" s="5"/>
      <c r="K60" s="5"/>
      <c r="L60" s="5"/>
      <c r="M60" s="5"/>
      <c r="N60" s="5"/>
      <c r="O60" s="6" t="str">
        <f aca="false">IF(OR(M60="",N60=""),"",IF(OR(M60="Ineffective",N60="Ineffective"),"Ineffective",IF(OR(M60="Not tested",N60="Not tested"),"Not tested",IF(OR(M60="Partially effective",N60="Partially effective"),"Partially effective","Effective"))))</f>
        <v/>
      </c>
      <c r="P60" s="5"/>
      <c r="Q60" s="5"/>
      <c r="R60" s="6" t="str">
        <f aca="false">IF(OR(P60="",Q60=""),"",P60*Q60)</f>
        <v/>
      </c>
      <c r="S60" s="6" t="str">
        <f aca="false">IF(R60="","",IF(R60&gt;=15,"Extreme",IF(R60&gt;=10,"High",IF(R60&gt;=5,"Medium","Low"))))</f>
        <v/>
      </c>
      <c r="T60" s="5"/>
      <c r="U60" s="5"/>
      <c r="V60" s="5"/>
      <c r="W60" s="10"/>
      <c r="X60" s="5"/>
      <c r="Y60" s="10"/>
    </row>
    <row r="61" customFormat="false" ht="15" hidden="false" customHeight="false" outlineLevel="0" collapsed="false">
      <c r="A61" s="5"/>
      <c r="B61" s="5"/>
      <c r="C61" s="5"/>
      <c r="D61" s="5"/>
      <c r="E61" s="5"/>
      <c r="F61" s="5"/>
      <c r="G61" s="5"/>
      <c r="H61" s="6" t="str">
        <f aca="false">IF(OR(F61="",G61=""),"",F61*G61)</f>
        <v/>
      </c>
      <c r="I61" s="6" t="str">
        <f aca="false">IF(H61="","",IF(H61&gt;=15,"Extreme",IF(H61&gt;=10,"High",IF(H61&gt;=5,"Medium","Low"))))</f>
        <v/>
      </c>
      <c r="J61" s="5"/>
      <c r="K61" s="5"/>
      <c r="L61" s="5"/>
      <c r="M61" s="5"/>
      <c r="N61" s="5"/>
      <c r="O61" s="6" t="str">
        <f aca="false">IF(OR(M61="",N61=""),"",IF(OR(M61="Ineffective",N61="Ineffective"),"Ineffective",IF(OR(M61="Not tested",N61="Not tested"),"Not tested",IF(OR(M61="Partially effective",N61="Partially effective"),"Partially effective","Effective"))))</f>
        <v/>
      </c>
      <c r="P61" s="5"/>
      <c r="Q61" s="5"/>
      <c r="R61" s="6" t="str">
        <f aca="false">IF(OR(P61="",Q61=""),"",P61*Q61)</f>
        <v/>
      </c>
      <c r="S61" s="6" t="str">
        <f aca="false">IF(R61="","",IF(R61&gt;=15,"Extreme",IF(R61&gt;=10,"High",IF(R61&gt;=5,"Medium","Low"))))</f>
        <v/>
      </c>
      <c r="T61" s="5"/>
      <c r="U61" s="5"/>
      <c r="V61" s="5"/>
      <c r="W61" s="10"/>
      <c r="X61" s="5"/>
      <c r="Y61" s="10"/>
    </row>
    <row r="62" customFormat="false" ht="15" hidden="false" customHeight="false" outlineLevel="0" collapsed="false">
      <c r="A62" s="5"/>
      <c r="B62" s="5"/>
      <c r="C62" s="5"/>
      <c r="D62" s="5"/>
      <c r="E62" s="5"/>
      <c r="F62" s="5"/>
      <c r="G62" s="5"/>
      <c r="H62" s="6" t="str">
        <f aca="false">IF(OR(F62="",G62=""),"",F62*G62)</f>
        <v/>
      </c>
      <c r="I62" s="6" t="str">
        <f aca="false">IF(H62="","",IF(H62&gt;=15,"Extreme",IF(H62&gt;=10,"High",IF(H62&gt;=5,"Medium","Low"))))</f>
        <v/>
      </c>
      <c r="J62" s="5"/>
      <c r="K62" s="5"/>
      <c r="L62" s="5"/>
      <c r="M62" s="5"/>
      <c r="N62" s="5"/>
      <c r="O62" s="6" t="str">
        <f aca="false">IF(OR(M62="",N62=""),"",IF(OR(M62="Ineffective",N62="Ineffective"),"Ineffective",IF(OR(M62="Not tested",N62="Not tested"),"Not tested",IF(OR(M62="Partially effective",N62="Partially effective"),"Partially effective","Effective"))))</f>
        <v/>
      </c>
      <c r="P62" s="5"/>
      <c r="Q62" s="5"/>
      <c r="R62" s="6" t="str">
        <f aca="false">IF(OR(P62="",Q62=""),"",P62*Q62)</f>
        <v/>
      </c>
      <c r="S62" s="6" t="str">
        <f aca="false">IF(R62="","",IF(R62&gt;=15,"Extreme",IF(R62&gt;=10,"High",IF(R62&gt;=5,"Medium","Low"))))</f>
        <v/>
      </c>
      <c r="T62" s="5"/>
      <c r="U62" s="5"/>
      <c r="V62" s="5"/>
      <c r="W62" s="10"/>
      <c r="X62" s="5"/>
      <c r="Y62" s="10"/>
    </row>
    <row r="63" customFormat="false" ht="15" hidden="false" customHeight="false" outlineLevel="0" collapsed="false">
      <c r="A63" s="5"/>
      <c r="B63" s="5"/>
      <c r="C63" s="5"/>
      <c r="D63" s="5"/>
      <c r="E63" s="5"/>
      <c r="F63" s="5"/>
      <c r="G63" s="5"/>
      <c r="H63" s="6" t="str">
        <f aca="false">IF(OR(F63="",G63=""),"",F63*G63)</f>
        <v/>
      </c>
      <c r="I63" s="6" t="str">
        <f aca="false">IF(H63="","",IF(H63&gt;=15,"Extreme",IF(H63&gt;=10,"High",IF(H63&gt;=5,"Medium","Low"))))</f>
        <v/>
      </c>
      <c r="J63" s="5"/>
      <c r="K63" s="5"/>
      <c r="L63" s="5"/>
      <c r="M63" s="5"/>
      <c r="N63" s="5"/>
      <c r="O63" s="6" t="str">
        <f aca="false">IF(OR(M63="",N63=""),"",IF(OR(M63="Ineffective",N63="Ineffective"),"Ineffective",IF(OR(M63="Not tested",N63="Not tested"),"Not tested",IF(OR(M63="Partially effective",N63="Partially effective"),"Partially effective","Effective"))))</f>
        <v/>
      </c>
      <c r="P63" s="5"/>
      <c r="Q63" s="5"/>
      <c r="R63" s="6" t="str">
        <f aca="false">IF(OR(P63="",Q63=""),"",P63*Q63)</f>
        <v/>
      </c>
      <c r="S63" s="6" t="str">
        <f aca="false">IF(R63="","",IF(R63&gt;=15,"Extreme",IF(R63&gt;=10,"High",IF(R63&gt;=5,"Medium","Low"))))</f>
        <v/>
      </c>
      <c r="T63" s="5"/>
      <c r="U63" s="5"/>
      <c r="V63" s="5"/>
      <c r="W63" s="10"/>
      <c r="X63" s="5"/>
      <c r="Y63" s="10"/>
    </row>
    <row r="64" customFormat="false" ht="15" hidden="false" customHeight="false" outlineLevel="0" collapsed="false">
      <c r="A64" s="5"/>
      <c r="B64" s="5"/>
      <c r="C64" s="5"/>
      <c r="D64" s="5"/>
      <c r="E64" s="5"/>
      <c r="F64" s="5"/>
      <c r="G64" s="5"/>
      <c r="H64" s="6" t="str">
        <f aca="false">IF(OR(F64="",G64=""),"",F64*G64)</f>
        <v/>
      </c>
      <c r="I64" s="6" t="str">
        <f aca="false">IF(H64="","",IF(H64&gt;=15,"Extreme",IF(H64&gt;=10,"High",IF(H64&gt;=5,"Medium","Low"))))</f>
        <v/>
      </c>
      <c r="J64" s="5"/>
      <c r="K64" s="5"/>
      <c r="L64" s="5"/>
      <c r="M64" s="5"/>
      <c r="N64" s="5"/>
      <c r="O64" s="6" t="str">
        <f aca="false">IF(OR(M64="",N64=""),"",IF(OR(M64="Ineffective",N64="Ineffective"),"Ineffective",IF(OR(M64="Not tested",N64="Not tested"),"Not tested",IF(OR(M64="Partially effective",N64="Partially effective"),"Partially effective","Effective"))))</f>
        <v/>
      </c>
      <c r="P64" s="5"/>
      <c r="Q64" s="5"/>
      <c r="R64" s="6" t="str">
        <f aca="false">IF(OR(P64="",Q64=""),"",P64*Q64)</f>
        <v/>
      </c>
      <c r="S64" s="6" t="str">
        <f aca="false">IF(R64="","",IF(R64&gt;=15,"Extreme",IF(R64&gt;=10,"High",IF(R64&gt;=5,"Medium","Low"))))</f>
        <v/>
      </c>
      <c r="T64" s="5"/>
      <c r="U64" s="5"/>
      <c r="V64" s="5"/>
      <c r="W64" s="10"/>
      <c r="X64" s="5"/>
      <c r="Y64" s="10"/>
    </row>
    <row r="65" customFormat="false" ht="15" hidden="false" customHeight="false" outlineLevel="0" collapsed="false">
      <c r="A65" s="5"/>
      <c r="B65" s="5"/>
      <c r="C65" s="5"/>
      <c r="D65" s="5"/>
      <c r="E65" s="5"/>
      <c r="F65" s="5"/>
      <c r="G65" s="5"/>
      <c r="H65" s="6" t="str">
        <f aca="false">IF(OR(F65="",G65=""),"",F65*G65)</f>
        <v/>
      </c>
      <c r="I65" s="6" t="str">
        <f aca="false">IF(H65="","",IF(H65&gt;=15,"Extreme",IF(H65&gt;=10,"High",IF(H65&gt;=5,"Medium","Low"))))</f>
        <v/>
      </c>
      <c r="J65" s="5"/>
      <c r="K65" s="5"/>
      <c r="L65" s="5"/>
      <c r="M65" s="5"/>
      <c r="N65" s="5"/>
      <c r="O65" s="6" t="str">
        <f aca="false">IF(OR(M65="",N65=""),"",IF(OR(M65="Ineffective",N65="Ineffective"),"Ineffective",IF(OR(M65="Not tested",N65="Not tested"),"Not tested",IF(OR(M65="Partially effective",N65="Partially effective"),"Partially effective","Effective"))))</f>
        <v/>
      </c>
      <c r="P65" s="5"/>
      <c r="Q65" s="5"/>
      <c r="R65" s="6" t="str">
        <f aca="false">IF(OR(P65="",Q65=""),"",P65*Q65)</f>
        <v/>
      </c>
      <c r="S65" s="6" t="str">
        <f aca="false">IF(R65="","",IF(R65&gt;=15,"Extreme",IF(R65&gt;=10,"High",IF(R65&gt;=5,"Medium","Low"))))</f>
        <v/>
      </c>
      <c r="T65" s="5"/>
      <c r="U65" s="5"/>
      <c r="V65" s="5"/>
      <c r="W65" s="10"/>
      <c r="X65" s="5"/>
      <c r="Y65" s="10"/>
    </row>
    <row r="66" customFormat="false" ht="15" hidden="false" customHeight="false" outlineLevel="0" collapsed="false">
      <c r="A66" s="5"/>
      <c r="B66" s="5"/>
      <c r="C66" s="5"/>
      <c r="D66" s="5"/>
      <c r="E66" s="5"/>
      <c r="F66" s="5"/>
      <c r="G66" s="5"/>
      <c r="H66" s="6" t="str">
        <f aca="false">IF(OR(F66="",G66=""),"",F66*G66)</f>
        <v/>
      </c>
      <c r="I66" s="6" t="str">
        <f aca="false">IF(H66="","",IF(H66&gt;=15,"Extreme",IF(H66&gt;=10,"High",IF(H66&gt;=5,"Medium","Low"))))</f>
        <v/>
      </c>
      <c r="J66" s="5"/>
      <c r="K66" s="5"/>
      <c r="L66" s="5"/>
      <c r="M66" s="5"/>
      <c r="N66" s="5"/>
      <c r="O66" s="6" t="str">
        <f aca="false">IF(OR(M66="",N66=""),"",IF(OR(M66="Ineffective",N66="Ineffective"),"Ineffective",IF(OR(M66="Not tested",N66="Not tested"),"Not tested",IF(OR(M66="Partially effective",N66="Partially effective"),"Partially effective","Effective"))))</f>
        <v/>
      </c>
      <c r="P66" s="5"/>
      <c r="Q66" s="5"/>
      <c r="R66" s="6" t="str">
        <f aca="false">IF(OR(P66="",Q66=""),"",P66*Q66)</f>
        <v/>
      </c>
      <c r="S66" s="6" t="str">
        <f aca="false">IF(R66="","",IF(R66&gt;=15,"Extreme",IF(R66&gt;=10,"High",IF(R66&gt;=5,"Medium","Low"))))</f>
        <v/>
      </c>
      <c r="T66" s="5"/>
      <c r="U66" s="5"/>
      <c r="V66" s="5"/>
      <c r="W66" s="10"/>
      <c r="X66" s="5"/>
      <c r="Y66" s="10"/>
    </row>
    <row r="67" customFormat="false" ht="15" hidden="false" customHeight="false" outlineLevel="0" collapsed="false">
      <c r="A67" s="5"/>
      <c r="B67" s="5"/>
      <c r="C67" s="5"/>
      <c r="D67" s="5"/>
      <c r="E67" s="5"/>
      <c r="F67" s="5"/>
      <c r="G67" s="5"/>
      <c r="H67" s="6" t="str">
        <f aca="false">IF(OR(F67="",G67=""),"",F67*G67)</f>
        <v/>
      </c>
      <c r="I67" s="6" t="str">
        <f aca="false">IF(H67="","",IF(H67&gt;=15,"Extreme",IF(H67&gt;=10,"High",IF(H67&gt;=5,"Medium","Low"))))</f>
        <v/>
      </c>
      <c r="J67" s="5"/>
      <c r="K67" s="5"/>
      <c r="L67" s="5"/>
      <c r="M67" s="5"/>
      <c r="N67" s="5"/>
      <c r="O67" s="6" t="str">
        <f aca="false">IF(OR(M67="",N67=""),"",IF(OR(M67="Ineffective",N67="Ineffective"),"Ineffective",IF(OR(M67="Not tested",N67="Not tested"),"Not tested",IF(OR(M67="Partially effective",N67="Partially effective"),"Partially effective","Effective"))))</f>
        <v/>
      </c>
      <c r="P67" s="5"/>
      <c r="Q67" s="5"/>
      <c r="R67" s="6" t="str">
        <f aca="false">IF(OR(P67="",Q67=""),"",P67*Q67)</f>
        <v/>
      </c>
      <c r="S67" s="6" t="str">
        <f aca="false">IF(R67="","",IF(R67&gt;=15,"Extreme",IF(R67&gt;=10,"High",IF(R67&gt;=5,"Medium","Low"))))</f>
        <v/>
      </c>
      <c r="T67" s="5"/>
      <c r="U67" s="5"/>
      <c r="V67" s="5"/>
      <c r="W67" s="10"/>
      <c r="X67" s="5"/>
      <c r="Y67" s="10"/>
    </row>
    <row r="68" customFormat="false" ht="15" hidden="false" customHeight="false" outlineLevel="0" collapsed="false">
      <c r="A68" s="5"/>
      <c r="B68" s="5"/>
      <c r="C68" s="5"/>
      <c r="D68" s="5"/>
      <c r="E68" s="5"/>
      <c r="F68" s="5"/>
      <c r="G68" s="5"/>
      <c r="H68" s="6" t="str">
        <f aca="false">IF(OR(F68="",G68=""),"",F68*G68)</f>
        <v/>
      </c>
      <c r="I68" s="6" t="str">
        <f aca="false">IF(H68="","",IF(H68&gt;=15,"Extreme",IF(H68&gt;=10,"High",IF(H68&gt;=5,"Medium","Low"))))</f>
        <v/>
      </c>
      <c r="J68" s="5"/>
      <c r="K68" s="5"/>
      <c r="L68" s="5"/>
      <c r="M68" s="5"/>
      <c r="N68" s="5"/>
      <c r="O68" s="6" t="str">
        <f aca="false">IF(OR(M68="",N68=""),"",IF(OR(M68="Ineffective",N68="Ineffective"),"Ineffective",IF(OR(M68="Not tested",N68="Not tested"),"Not tested",IF(OR(M68="Partially effective",N68="Partially effective"),"Partially effective","Effective"))))</f>
        <v/>
      </c>
      <c r="P68" s="5"/>
      <c r="Q68" s="5"/>
      <c r="R68" s="6" t="str">
        <f aca="false">IF(OR(P68="",Q68=""),"",P68*Q68)</f>
        <v/>
      </c>
      <c r="S68" s="6" t="str">
        <f aca="false">IF(R68="","",IF(R68&gt;=15,"Extreme",IF(R68&gt;=10,"High",IF(R68&gt;=5,"Medium","Low"))))</f>
        <v/>
      </c>
      <c r="T68" s="5"/>
      <c r="U68" s="5"/>
      <c r="V68" s="5"/>
      <c r="W68" s="10"/>
      <c r="X68" s="5"/>
      <c r="Y68" s="10"/>
    </row>
    <row r="69" customFormat="false" ht="15" hidden="false" customHeight="false" outlineLevel="0" collapsed="false">
      <c r="A69" s="5"/>
      <c r="B69" s="5"/>
      <c r="C69" s="5"/>
      <c r="D69" s="5"/>
      <c r="E69" s="5"/>
      <c r="F69" s="5"/>
      <c r="G69" s="5"/>
      <c r="H69" s="6" t="str">
        <f aca="false">IF(OR(F69="",G69=""),"",F69*G69)</f>
        <v/>
      </c>
      <c r="I69" s="6" t="str">
        <f aca="false">IF(H69="","",IF(H69&gt;=15,"Extreme",IF(H69&gt;=10,"High",IF(H69&gt;=5,"Medium","Low"))))</f>
        <v/>
      </c>
      <c r="J69" s="5"/>
      <c r="K69" s="5"/>
      <c r="L69" s="5"/>
      <c r="M69" s="5"/>
      <c r="N69" s="5"/>
      <c r="O69" s="6" t="str">
        <f aca="false">IF(OR(M69="",N69=""),"",IF(OR(M69="Ineffective",N69="Ineffective"),"Ineffective",IF(OR(M69="Not tested",N69="Not tested"),"Not tested",IF(OR(M69="Partially effective",N69="Partially effective"),"Partially effective","Effective"))))</f>
        <v/>
      </c>
      <c r="P69" s="5"/>
      <c r="Q69" s="5"/>
      <c r="R69" s="6" t="str">
        <f aca="false">IF(OR(P69="",Q69=""),"",P69*Q69)</f>
        <v/>
      </c>
      <c r="S69" s="6" t="str">
        <f aca="false">IF(R69="","",IF(R69&gt;=15,"Extreme",IF(R69&gt;=10,"High",IF(R69&gt;=5,"Medium","Low"))))</f>
        <v/>
      </c>
      <c r="T69" s="5"/>
      <c r="U69" s="5"/>
      <c r="V69" s="5"/>
      <c r="W69" s="10"/>
      <c r="X69" s="5"/>
      <c r="Y69" s="10"/>
    </row>
    <row r="70" customFormat="false" ht="15" hidden="false" customHeight="false" outlineLevel="0" collapsed="false">
      <c r="A70" s="5"/>
      <c r="B70" s="5"/>
      <c r="C70" s="5"/>
      <c r="D70" s="5"/>
      <c r="E70" s="5"/>
      <c r="F70" s="5"/>
      <c r="G70" s="5"/>
      <c r="H70" s="6" t="str">
        <f aca="false">IF(OR(F70="",G70=""),"",F70*G70)</f>
        <v/>
      </c>
      <c r="I70" s="6" t="str">
        <f aca="false">IF(H70="","",IF(H70&gt;=15,"Extreme",IF(H70&gt;=10,"High",IF(H70&gt;=5,"Medium","Low"))))</f>
        <v/>
      </c>
      <c r="J70" s="5"/>
      <c r="K70" s="5"/>
      <c r="L70" s="5"/>
      <c r="M70" s="5"/>
      <c r="N70" s="5"/>
      <c r="O70" s="6" t="str">
        <f aca="false">IF(OR(M70="",N70=""),"",IF(OR(M70="Ineffective",N70="Ineffective"),"Ineffective",IF(OR(M70="Not tested",N70="Not tested"),"Not tested",IF(OR(M70="Partially effective",N70="Partially effective"),"Partially effective","Effective"))))</f>
        <v/>
      </c>
      <c r="P70" s="5"/>
      <c r="Q70" s="5"/>
      <c r="R70" s="6" t="str">
        <f aca="false">IF(OR(P70="",Q70=""),"",P70*Q70)</f>
        <v/>
      </c>
      <c r="S70" s="6" t="str">
        <f aca="false">IF(R70="","",IF(R70&gt;=15,"Extreme",IF(R70&gt;=10,"High",IF(R70&gt;=5,"Medium","Low"))))</f>
        <v/>
      </c>
      <c r="T70" s="5"/>
      <c r="U70" s="5"/>
      <c r="V70" s="5"/>
      <c r="W70" s="10"/>
      <c r="X70" s="5"/>
      <c r="Y70" s="10"/>
    </row>
    <row r="71" customFormat="false" ht="15" hidden="false" customHeight="false" outlineLevel="0" collapsed="false">
      <c r="A71" s="5"/>
      <c r="B71" s="5"/>
      <c r="C71" s="5"/>
      <c r="D71" s="5"/>
      <c r="E71" s="5"/>
      <c r="F71" s="5"/>
      <c r="G71" s="5"/>
      <c r="H71" s="6" t="str">
        <f aca="false">IF(OR(F71="",G71=""),"",F71*G71)</f>
        <v/>
      </c>
      <c r="I71" s="6" t="str">
        <f aca="false">IF(H71="","",IF(H71&gt;=15,"Extreme",IF(H71&gt;=10,"High",IF(H71&gt;=5,"Medium","Low"))))</f>
        <v/>
      </c>
      <c r="J71" s="5"/>
      <c r="K71" s="5"/>
      <c r="L71" s="5"/>
      <c r="M71" s="5"/>
      <c r="N71" s="5"/>
      <c r="O71" s="6" t="str">
        <f aca="false">IF(OR(M71="",N71=""),"",IF(OR(M71="Ineffective",N71="Ineffective"),"Ineffective",IF(OR(M71="Not tested",N71="Not tested"),"Not tested",IF(OR(M71="Partially effective",N71="Partially effective"),"Partially effective","Effective"))))</f>
        <v/>
      </c>
      <c r="P71" s="5"/>
      <c r="Q71" s="5"/>
      <c r="R71" s="6" t="str">
        <f aca="false">IF(OR(P71="",Q71=""),"",P71*Q71)</f>
        <v/>
      </c>
      <c r="S71" s="6" t="str">
        <f aca="false">IF(R71="","",IF(R71&gt;=15,"Extreme",IF(R71&gt;=10,"High",IF(R71&gt;=5,"Medium","Low"))))</f>
        <v/>
      </c>
      <c r="T71" s="5"/>
      <c r="U71" s="5"/>
      <c r="V71" s="5"/>
      <c r="W71" s="10"/>
      <c r="X71" s="5"/>
      <c r="Y71" s="10"/>
    </row>
    <row r="72" customFormat="false" ht="15" hidden="false" customHeight="false" outlineLevel="0" collapsed="false">
      <c r="A72" s="5"/>
      <c r="B72" s="5"/>
      <c r="C72" s="5"/>
      <c r="D72" s="5"/>
      <c r="E72" s="5"/>
      <c r="F72" s="5"/>
      <c r="G72" s="5"/>
      <c r="H72" s="6" t="str">
        <f aca="false">IF(OR(F72="",G72=""),"",F72*G72)</f>
        <v/>
      </c>
      <c r="I72" s="6" t="str">
        <f aca="false">IF(H72="","",IF(H72&gt;=15,"Extreme",IF(H72&gt;=10,"High",IF(H72&gt;=5,"Medium","Low"))))</f>
        <v/>
      </c>
      <c r="J72" s="5"/>
      <c r="K72" s="5"/>
      <c r="L72" s="5"/>
      <c r="M72" s="5"/>
      <c r="N72" s="5"/>
      <c r="O72" s="6" t="str">
        <f aca="false">IF(OR(M72="",N72=""),"",IF(OR(M72="Ineffective",N72="Ineffective"),"Ineffective",IF(OR(M72="Not tested",N72="Not tested"),"Not tested",IF(OR(M72="Partially effective",N72="Partially effective"),"Partially effective","Effective"))))</f>
        <v/>
      </c>
      <c r="P72" s="5"/>
      <c r="Q72" s="5"/>
      <c r="R72" s="6" t="str">
        <f aca="false">IF(OR(P72="",Q72=""),"",P72*Q72)</f>
        <v/>
      </c>
      <c r="S72" s="6" t="str">
        <f aca="false">IF(R72="","",IF(R72&gt;=15,"Extreme",IF(R72&gt;=10,"High",IF(R72&gt;=5,"Medium","Low"))))</f>
        <v/>
      </c>
      <c r="T72" s="5"/>
      <c r="U72" s="5"/>
      <c r="V72" s="5"/>
      <c r="W72" s="10"/>
      <c r="X72" s="5"/>
      <c r="Y72" s="10"/>
    </row>
    <row r="73" customFormat="false" ht="15" hidden="false" customHeight="false" outlineLevel="0" collapsed="false">
      <c r="A73" s="5"/>
      <c r="B73" s="5"/>
      <c r="C73" s="5"/>
      <c r="D73" s="5"/>
      <c r="E73" s="5"/>
      <c r="F73" s="5"/>
      <c r="G73" s="5"/>
      <c r="H73" s="6" t="str">
        <f aca="false">IF(OR(F73="",G73=""),"",F73*G73)</f>
        <v/>
      </c>
      <c r="I73" s="6" t="str">
        <f aca="false">IF(H73="","",IF(H73&gt;=15,"Extreme",IF(H73&gt;=10,"High",IF(H73&gt;=5,"Medium","Low"))))</f>
        <v/>
      </c>
      <c r="J73" s="5"/>
      <c r="K73" s="5"/>
      <c r="L73" s="5"/>
      <c r="M73" s="5"/>
      <c r="N73" s="5"/>
      <c r="O73" s="6" t="str">
        <f aca="false">IF(OR(M73="",N73=""),"",IF(OR(M73="Ineffective",N73="Ineffective"),"Ineffective",IF(OR(M73="Not tested",N73="Not tested"),"Not tested",IF(OR(M73="Partially effective",N73="Partially effective"),"Partially effective","Effective"))))</f>
        <v/>
      </c>
      <c r="P73" s="5"/>
      <c r="Q73" s="5"/>
      <c r="R73" s="6" t="str">
        <f aca="false">IF(OR(P73="",Q73=""),"",P73*Q73)</f>
        <v/>
      </c>
      <c r="S73" s="6" t="str">
        <f aca="false">IF(R73="","",IF(R73&gt;=15,"Extreme",IF(R73&gt;=10,"High",IF(R73&gt;=5,"Medium","Low"))))</f>
        <v/>
      </c>
      <c r="T73" s="5"/>
      <c r="U73" s="5"/>
      <c r="V73" s="5"/>
      <c r="W73" s="10"/>
      <c r="X73" s="5"/>
      <c r="Y73" s="10"/>
    </row>
    <row r="74" customFormat="false" ht="15" hidden="false" customHeight="false" outlineLevel="0" collapsed="false">
      <c r="A74" s="5"/>
      <c r="B74" s="5"/>
      <c r="C74" s="5"/>
      <c r="D74" s="5"/>
      <c r="E74" s="5"/>
      <c r="F74" s="5"/>
      <c r="G74" s="5"/>
      <c r="H74" s="6" t="str">
        <f aca="false">IF(OR(F74="",G74=""),"",F74*G74)</f>
        <v/>
      </c>
      <c r="I74" s="6" t="str">
        <f aca="false">IF(H74="","",IF(H74&gt;=15,"Extreme",IF(H74&gt;=10,"High",IF(H74&gt;=5,"Medium","Low"))))</f>
        <v/>
      </c>
      <c r="J74" s="5"/>
      <c r="K74" s="5"/>
      <c r="L74" s="5"/>
      <c r="M74" s="5"/>
      <c r="N74" s="5"/>
      <c r="O74" s="6" t="str">
        <f aca="false">IF(OR(M74="",N74=""),"",IF(OR(M74="Ineffective",N74="Ineffective"),"Ineffective",IF(OR(M74="Not tested",N74="Not tested"),"Not tested",IF(OR(M74="Partially effective",N74="Partially effective"),"Partially effective","Effective"))))</f>
        <v/>
      </c>
      <c r="P74" s="5"/>
      <c r="Q74" s="5"/>
      <c r="R74" s="6" t="str">
        <f aca="false">IF(OR(P74="",Q74=""),"",P74*Q74)</f>
        <v/>
      </c>
      <c r="S74" s="6" t="str">
        <f aca="false">IF(R74="","",IF(R74&gt;=15,"Extreme",IF(R74&gt;=10,"High",IF(R74&gt;=5,"Medium","Low"))))</f>
        <v/>
      </c>
      <c r="T74" s="5"/>
      <c r="U74" s="5"/>
      <c r="V74" s="5"/>
      <c r="W74" s="10"/>
      <c r="X74" s="5"/>
      <c r="Y74" s="10"/>
    </row>
    <row r="75" customFormat="false" ht="15" hidden="false" customHeight="false" outlineLevel="0" collapsed="false">
      <c r="A75" s="5"/>
      <c r="B75" s="5"/>
      <c r="C75" s="5"/>
      <c r="D75" s="5"/>
      <c r="E75" s="5"/>
      <c r="F75" s="5"/>
      <c r="G75" s="5"/>
      <c r="H75" s="6" t="str">
        <f aca="false">IF(OR(F75="",G75=""),"",F75*G75)</f>
        <v/>
      </c>
      <c r="I75" s="6" t="str">
        <f aca="false">IF(H75="","",IF(H75&gt;=15,"Extreme",IF(H75&gt;=10,"High",IF(H75&gt;=5,"Medium","Low"))))</f>
        <v/>
      </c>
      <c r="J75" s="5"/>
      <c r="K75" s="5"/>
      <c r="L75" s="5"/>
      <c r="M75" s="5"/>
      <c r="N75" s="5"/>
      <c r="O75" s="6" t="str">
        <f aca="false">IF(OR(M75="",N75=""),"",IF(OR(M75="Ineffective",N75="Ineffective"),"Ineffective",IF(OR(M75="Not tested",N75="Not tested"),"Not tested",IF(OR(M75="Partially effective",N75="Partially effective"),"Partially effective","Effective"))))</f>
        <v/>
      </c>
      <c r="P75" s="5"/>
      <c r="Q75" s="5"/>
      <c r="R75" s="6" t="str">
        <f aca="false">IF(OR(P75="",Q75=""),"",P75*Q75)</f>
        <v/>
      </c>
      <c r="S75" s="6" t="str">
        <f aca="false">IF(R75="","",IF(R75&gt;=15,"Extreme",IF(R75&gt;=10,"High",IF(R75&gt;=5,"Medium","Low"))))</f>
        <v/>
      </c>
      <c r="T75" s="5"/>
      <c r="U75" s="5"/>
      <c r="V75" s="5"/>
      <c r="W75" s="10"/>
      <c r="X75" s="5"/>
      <c r="Y75" s="10"/>
    </row>
    <row r="76" customFormat="false" ht="15" hidden="false" customHeight="false" outlineLevel="0" collapsed="false">
      <c r="A76" s="5"/>
      <c r="B76" s="5"/>
      <c r="C76" s="5"/>
      <c r="D76" s="5"/>
      <c r="E76" s="5"/>
      <c r="F76" s="5"/>
      <c r="G76" s="5"/>
      <c r="H76" s="6" t="str">
        <f aca="false">IF(OR(F76="",G76=""),"",F76*G76)</f>
        <v/>
      </c>
      <c r="I76" s="6" t="str">
        <f aca="false">IF(H76="","",IF(H76&gt;=15,"Extreme",IF(H76&gt;=10,"High",IF(H76&gt;=5,"Medium","Low"))))</f>
        <v/>
      </c>
      <c r="J76" s="5"/>
      <c r="K76" s="5"/>
      <c r="L76" s="5"/>
      <c r="M76" s="5"/>
      <c r="N76" s="5"/>
      <c r="O76" s="6" t="str">
        <f aca="false">IF(OR(M76="",N76=""),"",IF(OR(M76="Ineffective",N76="Ineffective"),"Ineffective",IF(OR(M76="Not tested",N76="Not tested"),"Not tested",IF(OR(M76="Partially effective",N76="Partially effective"),"Partially effective","Effective"))))</f>
        <v/>
      </c>
      <c r="P76" s="5"/>
      <c r="Q76" s="5"/>
      <c r="R76" s="6" t="str">
        <f aca="false">IF(OR(P76="",Q76=""),"",P76*Q76)</f>
        <v/>
      </c>
      <c r="S76" s="6" t="str">
        <f aca="false">IF(R76="","",IF(R76&gt;=15,"Extreme",IF(R76&gt;=10,"High",IF(R76&gt;=5,"Medium","Low"))))</f>
        <v/>
      </c>
      <c r="T76" s="5"/>
      <c r="U76" s="5"/>
      <c r="V76" s="5"/>
      <c r="W76" s="10"/>
      <c r="X76" s="5"/>
      <c r="Y76" s="10"/>
    </row>
    <row r="77" customFormat="false" ht="15" hidden="false" customHeight="false" outlineLevel="0" collapsed="false">
      <c r="A77" s="5"/>
      <c r="B77" s="5"/>
      <c r="C77" s="5"/>
      <c r="D77" s="5"/>
      <c r="E77" s="5"/>
      <c r="F77" s="5"/>
      <c r="G77" s="5"/>
      <c r="H77" s="6" t="str">
        <f aca="false">IF(OR(F77="",G77=""),"",F77*G77)</f>
        <v/>
      </c>
      <c r="I77" s="6" t="str">
        <f aca="false">IF(H77="","",IF(H77&gt;=15,"Extreme",IF(H77&gt;=10,"High",IF(H77&gt;=5,"Medium","Low"))))</f>
        <v/>
      </c>
      <c r="J77" s="5"/>
      <c r="K77" s="5"/>
      <c r="L77" s="5"/>
      <c r="M77" s="5"/>
      <c r="N77" s="5"/>
      <c r="O77" s="6" t="str">
        <f aca="false">IF(OR(M77="",N77=""),"",IF(OR(M77="Ineffective",N77="Ineffective"),"Ineffective",IF(OR(M77="Not tested",N77="Not tested"),"Not tested",IF(OR(M77="Partially effective",N77="Partially effective"),"Partially effective","Effective"))))</f>
        <v/>
      </c>
      <c r="P77" s="5"/>
      <c r="Q77" s="5"/>
      <c r="R77" s="6" t="str">
        <f aca="false">IF(OR(P77="",Q77=""),"",P77*Q77)</f>
        <v/>
      </c>
      <c r="S77" s="6" t="str">
        <f aca="false">IF(R77="","",IF(R77&gt;=15,"Extreme",IF(R77&gt;=10,"High",IF(R77&gt;=5,"Medium","Low"))))</f>
        <v/>
      </c>
      <c r="T77" s="5"/>
      <c r="U77" s="5"/>
      <c r="V77" s="5"/>
      <c r="W77" s="10"/>
      <c r="X77" s="5"/>
      <c r="Y77" s="10"/>
    </row>
    <row r="78" customFormat="false" ht="15" hidden="false" customHeight="false" outlineLevel="0" collapsed="false">
      <c r="A78" s="5"/>
      <c r="B78" s="5"/>
      <c r="C78" s="5"/>
      <c r="D78" s="5"/>
      <c r="E78" s="5"/>
      <c r="F78" s="5"/>
      <c r="G78" s="5"/>
      <c r="H78" s="6" t="str">
        <f aca="false">IF(OR(F78="",G78=""),"",F78*G78)</f>
        <v/>
      </c>
      <c r="I78" s="6" t="str">
        <f aca="false">IF(H78="","",IF(H78&gt;=15,"Extreme",IF(H78&gt;=10,"High",IF(H78&gt;=5,"Medium","Low"))))</f>
        <v/>
      </c>
      <c r="J78" s="5"/>
      <c r="K78" s="5"/>
      <c r="L78" s="5"/>
      <c r="M78" s="5"/>
      <c r="N78" s="5"/>
      <c r="O78" s="6" t="str">
        <f aca="false">IF(OR(M78="",N78=""),"",IF(OR(M78="Ineffective",N78="Ineffective"),"Ineffective",IF(OR(M78="Not tested",N78="Not tested"),"Not tested",IF(OR(M78="Partially effective",N78="Partially effective"),"Partially effective","Effective"))))</f>
        <v/>
      </c>
      <c r="P78" s="5"/>
      <c r="Q78" s="5"/>
      <c r="R78" s="6" t="str">
        <f aca="false">IF(OR(P78="",Q78=""),"",P78*Q78)</f>
        <v/>
      </c>
      <c r="S78" s="6" t="str">
        <f aca="false">IF(R78="","",IF(R78&gt;=15,"Extreme",IF(R78&gt;=10,"High",IF(R78&gt;=5,"Medium","Low"))))</f>
        <v/>
      </c>
      <c r="T78" s="5"/>
      <c r="U78" s="5"/>
      <c r="V78" s="5"/>
      <c r="W78" s="10"/>
      <c r="X78" s="5"/>
      <c r="Y78" s="10"/>
    </row>
    <row r="79" customFormat="false" ht="15" hidden="false" customHeight="false" outlineLevel="0" collapsed="false">
      <c r="A79" s="5"/>
      <c r="B79" s="5"/>
      <c r="C79" s="5"/>
      <c r="D79" s="5"/>
      <c r="E79" s="5"/>
      <c r="F79" s="5"/>
      <c r="G79" s="5"/>
      <c r="H79" s="6" t="str">
        <f aca="false">IF(OR(F79="",G79=""),"",F79*G79)</f>
        <v/>
      </c>
      <c r="I79" s="6" t="str">
        <f aca="false">IF(H79="","",IF(H79&gt;=15,"Extreme",IF(H79&gt;=10,"High",IF(H79&gt;=5,"Medium","Low"))))</f>
        <v/>
      </c>
      <c r="J79" s="5"/>
      <c r="K79" s="5"/>
      <c r="L79" s="5"/>
      <c r="M79" s="5"/>
      <c r="N79" s="5"/>
      <c r="O79" s="6" t="str">
        <f aca="false">IF(OR(M79="",N79=""),"",IF(OR(M79="Ineffective",N79="Ineffective"),"Ineffective",IF(OR(M79="Not tested",N79="Not tested"),"Not tested",IF(OR(M79="Partially effective",N79="Partially effective"),"Partially effective","Effective"))))</f>
        <v/>
      </c>
      <c r="P79" s="5"/>
      <c r="Q79" s="5"/>
      <c r="R79" s="6" t="str">
        <f aca="false">IF(OR(P79="",Q79=""),"",P79*Q79)</f>
        <v/>
      </c>
      <c r="S79" s="6" t="str">
        <f aca="false">IF(R79="","",IF(R79&gt;=15,"Extreme",IF(R79&gt;=10,"High",IF(R79&gt;=5,"Medium","Low"))))</f>
        <v/>
      </c>
      <c r="T79" s="5"/>
      <c r="U79" s="5"/>
      <c r="V79" s="5"/>
      <c r="W79" s="10"/>
      <c r="X79" s="5"/>
      <c r="Y79" s="10"/>
    </row>
    <row r="80" customFormat="false" ht="15" hidden="false" customHeight="false" outlineLevel="0" collapsed="false">
      <c r="A80" s="5"/>
      <c r="B80" s="5"/>
      <c r="C80" s="5"/>
      <c r="D80" s="5"/>
      <c r="E80" s="5"/>
      <c r="F80" s="5"/>
      <c r="G80" s="5"/>
      <c r="H80" s="6" t="str">
        <f aca="false">IF(OR(F80="",G80=""),"",F80*G80)</f>
        <v/>
      </c>
      <c r="I80" s="6" t="str">
        <f aca="false">IF(H80="","",IF(H80&gt;=15,"Extreme",IF(H80&gt;=10,"High",IF(H80&gt;=5,"Medium","Low"))))</f>
        <v/>
      </c>
      <c r="J80" s="5"/>
      <c r="K80" s="5"/>
      <c r="L80" s="5"/>
      <c r="M80" s="5"/>
      <c r="N80" s="5"/>
      <c r="O80" s="6" t="str">
        <f aca="false">IF(OR(M80="",N80=""),"",IF(OR(M80="Ineffective",N80="Ineffective"),"Ineffective",IF(OR(M80="Not tested",N80="Not tested"),"Not tested",IF(OR(M80="Partially effective",N80="Partially effective"),"Partially effective","Effective"))))</f>
        <v/>
      </c>
      <c r="P80" s="5"/>
      <c r="Q80" s="5"/>
      <c r="R80" s="6" t="str">
        <f aca="false">IF(OR(P80="",Q80=""),"",P80*Q80)</f>
        <v/>
      </c>
      <c r="S80" s="6" t="str">
        <f aca="false">IF(R80="","",IF(R80&gt;=15,"Extreme",IF(R80&gt;=10,"High",IF(R80&gt;=5,"Medium","Low"))))</f>
        <v/>
      </c>
      <c r="T80" s="5"/>
      <c r="U80" s="5"/>
      <c r="V80" s="5"/>
      <c r="W80" s="10"/>
      <c r="X80" s="5"/>
      <c r="Y80" s="10"/>
    </row>
    <row r="81" customFormat="false" ht="15" hidden="false" customHeight="false" outlineLevel="0" collapsed="false">
      <c r="A81" s="5"/>
      <c r="B81" s="5"/>
      <c r="C81" s="5"/>
      <c r="D81" s="5"/>
      <c r="E81" s="5"/>
      <c r="F81" s="5"/>
      <c r="G81" s="5"/>
      <c r="H81" s="6" t="str">
        <f aca="false">IF(OR(F81="",G81=""),"",F81*G81)</f>
        <v/>
      </c>
      <c r="I81" s="6" t="str">
        <f aca="false">IF(H81="","",IF(H81&gt;=15,"Extreme",IF(H81&gt;=10,"High",IF(H81&gt;=5,"Medium","Low"))))</f>
        <v/>
      </c>
      <c r="J81" s="5"/>
      <c r="K81" s="5"/>
      <c r="L81" s="5"/>
      <c r="M81" s="5"/>
      <c r="N81" s="5"/>
      <c r="O81" s="6" t="str">
        <f aca="false">IF(OR(M81="",N81=""),"",IF(OR(M81="Ineffective",N81="Ineffective"),"Ineffective",IF(OR(M81="Not tested",N81="Not tested"),"Not tested",IF(OR(M81="Partially effective",N81="Partially effective"),"Partially effective","Effective"))))</f>
        <v/>
      </c>
      <c r="P81" s="5"/>
      <c r="Q81" s="5"/>
      <c r="R81" s="6" t="str">
        <f aca="false">IF(OR(P81="",Q81=""),"",P81*Q81)</f>
        <v/>
      </c>
      <c r="S81" s="6" t="str">
        <f aca="false">IF(R81="","",IF(R81&gt;=15,"Extreme",IF(R81&gt;=10,"High",IF(R81&gt;=5,"Medium","Low"))))</f>
        <v/>
      </c>
      <c r="T81" s="5"/>
      <c r="U81" s="5"/>
      <c r="V81" s="5"/>
      <c r="W81" s="10"/>
      <c r="X81" s="5"/>
      <c r="Y81" s="10"/>
    </row>
    <row r="82" customFormat="false" ht="15" hidden="false" customHeight="false" outlineLevel="0" collapsed="false">
      <c r="A82" s="5"/>
      <c r="B82" s="5"/>
      <c r="C82" s="5"/>
      <c r="D82" s="5"/>
      <c r="E82" s="5"/>
      <c r="F82" s="5"/>
      <c r="G82" s="5"/>
      <c r="H82" s="6" t="str">
        <f aca="false">IF(OR(F82="",G82=""),"",F82*G82)</f>
        <v/>
      </c>
      <c r="I82" s="6" t="str">
        <f aca="false">IF(H82="","",IF(H82&gt;=15,"Extreme",IF(H82&gt;=10,"High",IF(H82&gt;=5,"Medium","Low"))))</f>
        <v/>
      </c>
      <c r="J82" s="5"/>
      <c r="K82" s="5"/>
      <c r="L82" s="5"/>
      <c r="M82" s="5"/>
      <c r="N82" s="5"/>
      <c r="O82" s="6" t="str">
        <f aca="false">IF(OR(M82="",N82=""),"",IF(OR(M82="Ineffective",N82="Ineffective"),"Ineffective",IF(OR(M82="Not tested",N82="Not tested"),"Not tested",IF(OR(M82="Partially effective",N82="Partially effective"),"Partially effective","Effective"))))</f>
        <v/>
      </c>
      <c r="P82" s="5"/>
      <c r="Q82" s="5"/>
      <c r="R82" s="6" t="str">
        <f aca="false">IF(OR(P82="",Q82=""),"",P82*Q82)</f>
        <v/>
      </c>
      <c r="S82" s="6" t="str">
        <f aca="false">IF(R82="","",IF(R82&gt;=15,"Extreme",IF(R82&gt;=10,"High",IF(R82&gt;=5,"Medium","Low"))))</f>
        <v/>
      </c>
      <c r="T82" s="5"/>
      <c r="U82" s="5"/>
      <c r="V82" s="5"/>
      <c r="W82" s="10"/>
      <c r="X82" s="5"/>
      <c r="Y82" s="10"/>
    </row>
    <row r="83" customFormat="false" ht="15" hidden="false" customHeight="false" outlineLevel="0" collapsed="false">
      <c r="A83" s="5"/>
      <c r="B83" s="5"/>
      <c r="C83" s="5"/>
      <c r="D83" s="5"/>
      <c r="E83" s="5"/>
      <c r="F83" s="5"/>
      <c r="G83" s="5"/>
      <c r="H83" s="6" t="str">
        <f aca="false">IF(OR(F83="",G83=""),"",F83*G83)</f>
        <v/>
      </c>
      <c r="I83" s="6" t="str">
        <f aca="false">IF(H83="","",IF(H83&gt;=15,"Extreme",IF(H83&gt;=10,"High",IF(H83&gt;=5,"Medium","Low"))))</f>
        <v/>
      </c>
      <c r="J83" s="5"/>
      <c r="K83" s="5"/>
      <c r="L83" s="5"/>
      <c r="M83" s="5"/>
      <c r="N83" s="5"/>
      <c r="O83" s="6" t="str">
        <f aca="false">IF(OR(M83="",N83=""),"",IF(OR(M83="Ineffective",N83="Ineffective"),"Ineffective",IF(OR(M83="Not tested",N83="Not tested"),"Not tested",IF(OR(M83="Partially effective",N83="Partially effective"),"Partially effective","Effective"))))</f>
        <v/>
      </c>
      <c r="P83" s="5"/>
      <c r="Q83" s="5"/>
      <c r="R83" s="6" t="str">
        <f aca="false">IF(OR(P83="",Q83=""),"",P83*Q83)</f>
        <v/>
      </c>
      <c r="S83" s="6" t="str">
        <f aca="false">IF(R83="","",IF(R83&gt;=15,"Extreme",IF(R83&gt;=10,"High",IF(R83&gt;=5,"Medium","Low"))))</f>
        <v/>
      </c>
      <c r="T83" s="5"/>
      <c r="U83" s="5"/>
      <c r="V83" s="5"/>
      <c r="W83" s="10"/>
      <c r="X83" s="5"/>
      <c r="Y83" s="10"/>
    </row>
    <row r="84" customFormat="false" ht="15" hidden="false" customHeight="false" outlineLevel="0" collapsed="false">
      <c r="A84" s="5"/>
      <c r="B84" s="5"/>
      <c r="C84" s="5"/>
      <c r="D84" s="5"/>
      <c r="E84" s="5"/>
      <c r="F84" s="5"/>
      <c r="G84" s="5"/>
      <c r="H84" s="6" t="str">
        <f aca="false">IF(OR(F84="",G84=""),"",F84*G84)</f>
        <v/>
      </c>
      <c r="I84" s="6" t="str">
        <f aca="false">IF(H84="","",IF(H84&gt;=15,"Extreme",IF(H84&gt;=10,"High",IF(H84&gt;=5,"Medium","Low"))))</f>
        <v/>
      </c>
      <c r="J84" s="5"/>
      <c r="K84" s="5"/>
      <c r="L84" s="5"/>
      <c r="M84" s="5"/>
      <c r="N84" s="5"/>
      <c r="O84" s="6" t="str">
        <f aca="false">IF(OR(M84="",N84=""),"",IF(OR(M84="Ineffective",N84="Ineffective"),"Ineffective",IF(OR(M84="Not tested",N84="Not tested"),"Not tested",IF(OR(M84="Partially effective",N84="Partially effective"),"Partially effective","Effective"))))</f>
        <v/>
      </c>
      <c r="P84" s="5"/>
      <c r="Q84" s="5"/>
      <c r="R84" s="6" t="str">
        <f aca="false">IF(OR(P84="",Q84=""),"",P84*Q84)</f>
        <v/>
      </c>
      <c r="S84" s="6" t="str">
        <f aca="false">IF(R84="","",IF(R84&gt;=15,"Extreme",IF(R84&gt;=10,"High",IF(R84&gt;=5,"Medium","Low"))))</f>
        <v/>
      </c>
      <c r="T84" s="5"/>
      <c r="U84" s="5"/>
      <c r="V84" s="5"/>
      <c r="W84" s="10"/>
      <c r="X84" s="5"/>
      <c r="Y84" s="10"/>
    </row>
  </sheetData>
  <autoFilter ref="A4:Y84"/>
  <conditionalFormatting sqref="I5:I84">
    <cfRule type="expression" priority="2" aboveAverage="0" equalAverage="0" bottom="0" percent="0" rank="0" text="" dxfId="10">
      <formula>I5="Low"</formula>
    </cfRule>
    <cfRule type="expression" priority="3" aboveAverage="0" equalAverage="0" bottom="0" percent="0" rank="0" text="" dxfId="11">
      <formula>I5="Medium"</formula>
    </cfRule>
    <cfRule type="expression" priority="4" aboveAverage="0" equalAverage="0" bottom="0" percent="0" rank="0" text="" dxfId="12">
      <formula>I5="High"</formula>
    </cfRule>
    <cfRule type="expression" priority="5" aboveAverage="0" equalAverage="0" bottom="0" percent="0" rank="0" text="" dxfId="13">
      <formula>I5="Extreme"</formula>
    </cfRule>
  </conditionalFormatting>
  <conditionalFormatting sqref="S5:S84">
    <cfRule type="expression" priority="6" aboveAverage="0" equalAverage="0" bottom="0" percent="0" rank="0" text="" dxfId="10">
      <formula>S5="Low"</formula>
    </cfRule>
    <cfRule type="expression" priority="7" aboveAverage="0" equalAverage="0" bottom="0" percent="0" rank="0" text="" dxfId="11">
      <formula>S5="Medium"</formula>
    </cfRule>
    <cfRule type="expression" priority="8" aboveAverage="0" equalAverage="0" bottom="0" percent="0" rank="0" text="" dxfId="12">
      <formula>S5="High"</formula>
    </cfRule>
    <cfRule type="expression" priority="9" aboveAverage="0" equalAverage="0" bottom="0" percent="0" rank="0" text="" dxfId="13">
      <formula>S5="Extreme"</formula>
    </cfRule>
  </conditionalFormatting>
  <dataValidations count="9">
    <dataValidation allowBlank="true" error="Please choose a value from the drop-down list." errorStyle="stop" operator="between" showDropDown="false" showErrorMessage="true" showInputMessage="false" sqref="D5:D84" type="list">
      <formula1>Lists!$A$5:$A$14</formula1>
      <formula2>0</formula2>
    </dataValidation>
    <dataValidation allowBlank="true" error="Please choose a value from the drop-down list." errorStyle="stop" operator="between" showDropDown="false" showErrorMessage="true" showInputMessage="false" sqref="F5:F84" type="list">
      <formula1>Lists!$B$5:$B$9</formula1>
      <formula2>0</formula2>
    </dataValidation>
    <dataValidation allowBlank="true" error="Please choose a value from the drop-down list." errorStyle="stop" operator="between" showDropDown="false" showErrorMessage="true" showInputMessage="false" sqref="G5:G84" type="list">
      <formula1>Lists!$B$5:$B$9</formula1>
      <formula2>0</formula2>
    </dataValidation>
    <dataValidation allowBlank="true" error="Please choose a value from the drop-down list." errorStyle="stop" operator="between" showDropDown="false" showErrorMessage="true" showInputMessage="false" sqref="K5:K84" type="list">
      <formula1>Lists!$D$5:$D$7</formula1>
      <formula2>0</formula2>
    </dataValidation>
    <dataValidation allowBlank="true" error="Please choose a value from the drop-down list." errorStyle="stop" operator="between" showDropDown="false" showErrorMessage="true" showInputMessage="false" sqref="M5:M84" type="list">
      <formula1>Lists!$C$5:$C$8</formula1>
      <formula2>0</formula2>
    </dataValidation>
    <dataValidation allowBlank="true" error="Please choose a value from the drop-down list." errorStyle="stop" operator="between" showDropDown="false" showErrorMessage="true" showInputMessage="false" sqref="N5:N84" type="list">
      <formula1>Lists!$C$5:$C$8</formula1>
      <formula2>0</formula2>
    </dataValidation>
    <dataValidation allowBlank="true" error="Please choose a value from the drop-down list." errorStyle="stop" operator="between" showDropDown="false" showErrorMessage="true" showInputMessage="false" sqref="P5:P84" type="list">
      <formula1>Lists!$B$5:$B$9</formula1>
      <formula2>0</formula2>
    </dataValidation>
    <dataValidation allowBlank="true" error="Please choose a value from the drop-down list." errorStyle="stop" operator="between" showDropDown="false" showErrorMessage="true" showInputMessage="false" sqref="Q5:Q84" type="list">
      <formula1>Lists!$B$5:$B$9</formula1>
      <formula2>0</formula2>
    </dataValidation>
    <dataValidation allowBlank="true" error="Please choose a value from the drop-down list." errorStyle="stop" operator="between" showDropDown="false" showErrorMessage="true" showInputMessage="false" sqref="T5:T84" type="list">
      <formula1>Lists!$E$5:$E$6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25.5" hidden="false" customHeight="true" outlineLevel="0" collapsed="false">
      <c r="A1" s="1" t="s">
        <v>66</v>
      </c>
    </row>
    <row r="2" customFormat="false" ht="15" hidden="false" customHeight="false" outlineLevel="0" collapsed="false">
      <c r="A2" s="2" t="s">
        <v>67</v>
      </c>
    </row>
    <row r="4" customFormat="false" ht="31.5" hidden="false" customHeight="true" outlineLevel="0" collapsed="false">
      <c r="A4" s="8" t="s">
        <v>68</v>
      </c>
      <c r="B4" s="8" t="s">
        <v>69</v>
      </c>
    </row>
    <row r="5" customFormat="false" ht="15" hidden="false" customHeight="false" outlineLevel="0" collapsed="false">
      <c r="A5" s="11" t="s">
        <v>70</v>
      </c>
      <c r="B5" s="12" t="n">
        <f aca="false">COUNTA(RCSA!$A$5:$A$84)</f>
        <v>2</v>
      </c>
    </row>
    <row r="6" customFormat="false" ht="15" hidden="false" customHeight="false" outlineLevel="0" collapsed="false">
      <c r="A6" s="11" t="s">
        <v>71</v>
      </c>
      <c r="B6" s="12" t="n">
        <f aca="false">COUNTIF(RCSA!$S$5:$S$84,"Extreme")</f>
        <v>0</v>
      </c>
    </row>
    <row r="7" customFormat="false" ht="15" hidden="false" customHeight="false" outlineLevel="0" collapsed="false">
      <c r="A7" s="11" t="s">
        <v>72</v>
      </c>
      <c r="B7" s="12" t="n">
        <f aca="false">COUNTIF(RCSA!$S$5:$S$84,"High")</f>
        <v>0</v>
      </c>
    </row>
    <row r="8" customFormat="false" ht="15" hidden="false" customHeight="false" outlineLevel="0" collapsed="false">
      <c r="A8" s="11" t="s">
        <v>73</v>
      </c>
      <c r="B8" s="12" t="n">
        <f aca="false">COUNTIF(RCSA!$T$5:$T$84,"No")</f>
        <v>1</v>
      </c>
    </row>
    <row r="9" customFormat="false" ht="15" hidden="false" customHeight="false" outlineLevel="0" collapsed="false">
      <c r="A9" s="11" t="s">
        <v>74</v>
      </c>
      <c r="B9" s="12" t="n">
        <f aca="false">COUNTIF(RCSA!$O$5:$O$84,"Ineffective")</f>
        <v>0</v>
      </c>
    </row>
    <row r="10" customFormat="false" ht="15" hidden="false" customHeight="false" outlineLevel="0" collapsed="false">
      <c r="A10" s="11" t="s">
        <v>75</v>
      </c>
      <c r="B10" s="12" t="n">
        <f aca="false">COUNTIF(RCSA!$O$5:$O$84,"Not tested")</f>
        <v>0</v>
      </c>
    </row>
    <row r="12" customFormat="false" ht="31.5" hidden="false" customHeight="true" outlineLevel="0" collapsed="false">
      <c r="A12" s="8" t="s">
        <v>76</v>
      </c>
      <c r="B12" s="8" t="s">
        <v>77</v>
      </c>
    </row>
    <row r="13" customFormat="false" ht="15" hidden="false" customHeight="false" outlineLevel="0" collapsed="false">
      <c r="A13" s="11" t="s">
        <v>47</v>
      </c>
      <c r="B13" s="12" t="n">
        <f aca="false">COUNTIF(RCSA!$D$5:$D$84,A13)</f>
        <v>1</v>
      </c>
    </row>
    <row r="14" customFormat="false" ht="15" hidden="false" customHeight="false" outlineLevel="0" collapsed="false">
      <c r="A14" s="11" t="s">
        <v>60</v>
      </c>
      <c r="B14" s="12" t="n">
        <f aca="false">COUNTIF(RCSA!$D$5:$D$84,A14)</f>
        <v>1</v>
      </c>
    </row>
    <row r="15" customFormat="false" ht="15" hidden="false" customHeight="false" outlineLevel="0" collapsed="false">
      <c r="A15" s="11" t="s">
        <v>78</v>
      </c>
      <c r="B15" s="12" t="n">
        <f aca="false">COUNTIF(RCSA!$D$5:$D$84,A15)</f>
        <v>0</v>
      </c>
    </row>
    <row r="16" customFormat="false" ht="15" hidden="false" customHeight="false" outlineLevel="0" collapsed="false">
      <c r="A16" s="11" t="s">
        <v>79</v>
      </c>
      <c r="B16" s="12" t="n">
        <f aca="false">COUNTIF(RCSA!$D$5:$D$84,A16)</f>
        <v>0</v>
      </c>
    </row>
    <row r="17" customFormat="false" ht="15" hidden="false" customHeight="false" outlineLevel="0" collapsed="false">
      <c r="A17" s="11" t="s">
        <v>80</v>
      </c>
      <c r="B17" s="12" t="n">
        <f aca="false">COUNTIF(RCSA!$D$5:$D$84,A17)</f>
        <v>0</v>
      </c>
    </row>
    <row r="18" customFormat="false" ht="15" hidden="false" customHeight="false" outlineLevel="0" collapsed="false">
      <c r="A18" s="11" t="s">
        <v>81</v>
      </c>
      <c r="B18" s="12" t="n">
        <f aca="false">COUNTIF(RCSA!$D$5:$D$84,A18)</f>
        <v>0</v>
      </c>
    </row>
    <row r="19" customFormat="false" ht="15" hidden="false" customHeight="false" outlineLevel="0" collapsed="false">
      <c r="A19" s="11" t="s">
        <v>82</v>
      </c>
      <c r="B19" s="12" t="n">
        <f aca="false">COUNTIF(RCSA!$D$5:$D$84,A19)</f>
        <v>0</v>
      </c>
    </row>
    <row r="20" customFormat="false" ht="15" hidden="false" customHeight="false" outlineLevel="0" collapsed="false">
      <c r="A20" s="11" t="s">
        <v>83</v>
      </c>
      <c r="B20" s="12" t="n">
        <f aca="false">COUNTIF(RCSA!$D$5:$D$84,A20)</f>
        <v>0</v>
      </c>
    </row>
    <row r="21" customFormat="false" ht="15" hidden="false" customHeight="false" outlineLevel="0" collapsed="false">
      <c r="A21" s="11" t="s">
        <v>84</v>
      </c>
      <c r="B21" s="12" t="n">
        <f aca="false">COUNTIF(RCSA!$D$5:$D$84,A21)</f>
        <v>0</v>
      </c>
    </row>
    <row r="22" customFormat="false" ht="15" hidden="false" customHeight="false" outlineLevel="0" collapsed="false">
      <c r="A22" s="11" t="s">
        <v>85</v>
      </c>
      <c r="B22" s="12" t="n">
        <f aca="false">COUNTIF(RCSA!$D$5:$D$84,A22)</f>
        <v>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5" min="1" style="0" width="28"/>
  </cols>
  <sheetData>
    <row r="1" customFormat="false" ht="25.5" hidden="false" customHeight="true" outlineLevel="0" collapsed="false">
      <c r="A1" s="1" t="s">
        <v>86</v>
      </c>
    </row>
    <row r="2" customFormat="false" ht="15" hidden="false" customHeight="false" outlineLevel="0" collapsed="false">
      <c r="A2" s="2" t="s">
        <v>87</v>
      </c>
    </row>
    <row r="4" customFormat="false" ht="15" hidden="false" customHeight="false" outlineLevel="0" collapsed="false">
      <c r="A4" s="13" t="s">
        <v>22</v>
      </c>
      <c r="B4" s="13" t="s">
        <v>88</v>
      </c>
      <c r="C4" s="13" t="s">
        <v>89</v>
      </c>
      <c r="D4" s="13" t="s">
        <v>29</v>
      </c>
      <c r="E4" s="13" t="s">
        <v>90</v>
      </c>
    </row>
    <row r="5" customFormat="false" ht="15" hidden="false" customHeight="false" outlineLevel="0" collapsed="false">
      <c r="A5" s="5" t="s">
        <v>47</v>
      </c>
      <c r="B5" s="5" t="n">
        <v>1</v>
      </c>
      <c r="C5" s="5" t="s">
        <v>52</v>
      </c>
      <c r="D5" s="5" t="s">
        <v>50</v>
      </c>
      <c r="E5" s="5" t="s">
        <v>64</v>
      </c>
    </row>
    <row r="6" customFormat="false" ht="15" hidden="false" customHeight="false" outlineLevel="0" collapsed="false">
      <c r="A6" s="5" t="s">
        <v>60</v>
      </c>
      <c r="B6" s="5" t="n">
        <v>2</v>
      </c>
      <c r="C6" s="5" t="s">
        <v>53</v>
      </c>
      <c r="D6" s="5" t="s">
        <v>91</v>
      </c>
      <c r="E6" s="5" t="s">
        <v>54</v>
      </c>
    </row>
    <row r="7" customFormat="false" ht="15" hidden="false" customHeight="false" outlineLevel="0" collapsed="false">
      <c r="A7" s="5" t="s">
        <v>78</v>
      </c>
      <c r="B7" s="5" t="n">
        <v>3</v>
      </c>
      <c r="C7" s="5" t="s">
        <v>92</v>
      </c>
      <c r="D7" s="5" t="s">
        <v>93</v>
      </c>
    </row>
    <row r="8" customFormat="false" ht="15" hidden="false" customHeight="false" outlineLevel="0" collapsed="false">
      <c r="A8" s="5" t="s">
        <v>79</v>
      </c>
      <c r="B8" s="5" t="n">
        <v>4</v>
      </c>
      <c r="C8" s="5" t="s">
        <v>94</v>
      </c>
    </row>
    <row r="9" customFormat="false" ht="15" hidden="false" customHeight="false" outlineLevel="0" collapsed="false">
      <c r="A9" s="5" t="s">
        <v>80</v>
      </c>
      <c r="B9" s="5" t="n">
        <v>5</v>
      </c>
    </row>
    <row r="10" customFormat="false" ht="15" hidden="false" customHeight="false" outlineLevel="0" collapsed="false">
      <c r="A10" s="5" t="s">
        <v>81</v>
      </c>
    </row>
    <row r="11" customFormat="false" ht="15" hidden="false" customHeight="false" outlineLevel="0" collapsed="false">
      <c r="A11" s="5" t="s">
        <v>82</v>
      </c>
    </row>
    <row r="12" customFormat="false" ht="15" hidden="false" customHeight="false" outlineLevel="0" collapsed="false">
      <c r="A12" s="5" t="s">
        <v>83</v>
      </c>
    </row>
    <row r="13" customFormat="false" ht="15" hidden="false" customHeight="false" outlineLevel="0" collapsed="false">
      <c r="A13" s="5" t="s">
        <v>84</v>
      </c>
    </row>
    <row r="14" customFormat="false" ht="15" hidden="false" customHeight="false" outlineLevel="0" collapsed="false">
      <c r="A14" s="5" t="s">
        <v>85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2026-09-28T05:53:10Z</dcterms:created>
  <dc:creator>openpyxl</dc:creator>
  <dc:description/>
  <dc:language>en-US</dc:language>
  <cp:lastModifiedBy/>
  <dcterms:modified xsi:type="dcterms:W3CDTF">2026-09-28T05:53:10Z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