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Test plan" sheetId="2" state="visible" r:id="rId4"/>
    <sheet name="Sample results" sheetId="3" state="visible" r:id="rId5"/>
    <sheet name="Conclusion" sheetId="4" state="visible" r:id="rId6"/>
    <sheet name="Sample size guide" sheetId="5" state="visible" r:id="rId7"/>
    <sheet name="Lists" sheetId="6" state="visible" r:id="rId8"/>
  </sheets>
  <definedNames>
    <definedName function="false" hidden="true" localSheetId="2" name="_xlnm._FilterDatabase" vbProcedure="false">'Sample results'!$A$4:$K$65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<sst xmlns="http://schemas.openxmlformats.org/spreadsheetml/2006/main" count="324" uniqueCount="196">
  <si>
    <t xml:space="preserve">Control testing workpaper</t>
  </si>
  <si>
    <t xml:space="preserve">RiskLens Australia · free template · version 1.0 (September 2026)</t>
  </si>
  <si>
    <t xml:space="preserve">What this is</t>
  </si>
  <si>
    <t xml:space="preserve">A workpaper for testing one control: the test plan, design assessment, sample results and conclusion, with reviewer sign-off. Background: https://hayesskvaril-ctrl.github.io/risk-management/control-design-and-testing.html and https://hayesskvaril-ctrl.github.io/risk-management/control-testing-sampling.html</t>
  </si>
  <si>
    <t xml:space="preserve">How to use it</t>
  </si>
  <si>
    <t xml:space="preserve">1. Test plan: describe the control, the risk it addresses, the population and the attributes you will test (up to four). Record the design assessment.
2. Choose a sample size using your methodology (the 'Sample size guide' tab shows statistical sizes for attribute sampling).
3. Sample results: record each item tested and whether each attribute was met (Yes, No or N/A). Exceptions are flagged automatically.
4. Conclusion: review the exception count, exception rate and upper deviation limit, then record the operating effectiveness conclusion, findings and sign-offs.</t>
  </si>
  <si>
    <t xml:space="preserve">Worked example</t>
  </si>
  <si>
    <t xml:space="preserve">The yellow cells hold a fictional example: a four-eyes approval control over super benefit payments, with 25 items tested and one exception. Replace it with your own test.</t>
  </si>
  <si>
    <t xml:space="preserve">Upper deviation limit</t>
  </si>
  <si>
    <t xml:space="preserve">The Conclusion tab calculates how high the true exception rate could be, at the confidence level you choose, given what the sample found. It uses an exact binomial (Clopper-Pearson) upper bound and assumes a random sample from a large population. It's a statistical aid, not a substitute for judgement: one exception that reveals a design flaw or fraud matters more than the rate suggests.</t>
  </si>
  <si>
    <t xml:space="preserve">Colour key</t>
  </si>
  <si>
    <t xml:space="preserve">Pale yellow cells: fill these in (many have drop-down lists).
Grey-blue cells: calculated automatically; don't type over them.
Green rows: worked examples. Replace or delete them.</t>
  </si>
  <si>
    <t xml:space="preserve">Important</t>
  </si>
  <si>
    <t xml:space="preserve">RiskLens Australia provides general educational information only. It is not legal, financial or compliance advice and does not take into account your circumstances. Always refer to the official legislation and regulator guidance, and seek professional advice where appropriate.</t>
  </si>
  <si>
    <t xml:space="preserve">Test plan and design assessment</t>
  </si>
  <si>
    <t xml:space="preserve">One workpaper per control. Fill in the yellow cells.</t>
  </si>
  <si>
    <t xml:space="preserve">About the control</t>
  </si>
  <si>
    <t xml:space="preserve">Workpaper reference</t>
  </si>
  <si>
    <t xml:space="preserve">CT-2026-07</t>
  </si>
  <si>
    <t xml:space="preserve">Control ID</t>
  </si>
  <si>
    <t xml:space="preserve">C-PAY-03</t>
  </si>
  <si>
    <t xml:space="preserve">Control description</t>
  </si>
  <si>
    <t xml:space="preserve">A second officer reviews and approves every benefit payment over $10,000 in the payment system before release, checking the payment against the member's claim form, identity verification and bank details.</t>
  </si>
  <si>
    <t xml:space="preserve">Control objective</t>
  </si>
  <si>
    <t xml:space="preserve">Benefit payments over $10,000 are valid, accurate and paid to the right member.</t>
  </si>
  <si>
    <t xml:space="preserve">Risk addressed</t>
  </si>
  <si>
    <t xml:space="preserve">Payment made to the wrong person or in the wrong amount (error or fraud).</t>
  </si>
  <si>
    <t xml:space="preserve">Control owner</t>
  </si>
  <si>
    <t xml:space="preserve">Payments Team Leader</t>
  </si>
  <si>
    <t xml:space="preserve">Frequency</t>
  </si>
  <si>
    <t xml:space="preserve">Multiple times a day</t>
  </si>
  <si>
    <t xml:space="preserve">Control type</t>
  </si>
  <si>
    <t xml:space="preserve">Preventive</t>
  </si>
  <si>
    <t xml:space="preserve">Manual or automated</t>
  </si>
  <si>
    <t xml:space="preserve">IT-dependent manual</t>
  </si>
  <si>
    <t xml:space="preserve">Key control?</t>
  </si>
  <si>
    <t xml:space="preserve">Yes</t>
  </si>
  <si>
    <t xml:space="preserve">Design assessment</t>
  </si>
  <si>
    <t xml:space="preserve">Does the design address the risk? (reasoning)</t>
  </si>
  <si>
    <t xml:space="preserve">Yes. The control operates before payment release, covers all payments over the threshold, and the system prevents the same user from creating and approving a payment.</t>
  </si>
  <si>
    <t xml:space="preserve">Design gaps identified</t>
  </si>
  <si>
    <t xml:space="preserve">Payments just under $10,000 are not reviewed; split-payment monitoring relies on a separate detective report.</t>
  </si>
  <si>
    <t xml:space="preserve">Design conclusion</t>
  </si>
  <si>
    <t xml:space="preserve">Effective</t>
  </si>
  <si>
    <t xml:space="preserve">Test approach</t>
  </si>
  <si>
    <t xml:space="preserve">Test period from</t>
  </si>
  <si>
    <t xml:space="preserve">Test period to</t>
  </si>
  <si>
    <t xml:space="preserve">Population description</t>
  </si>
  <si>
    <t xml:space="preserve">All benefit payments over $10,000 released between 1 January and 30 June 2026 (system report PAY-R12).</t>
  </si>
  <si>
    <t xml:space="preserve">Population size</t>
  </si>
  <si>
    <t xml:space="preserve">How completeness of the population was checked</t>
  </si>
  <si>
    <t xml:space="preserve">Reconciled report total to the general ledger benefit payments account for the period.</t>
  </si>
  <si>
    <t xml:space="preserve">Test method</t>
  </si>
  <si>
    <t xml:space="preserve">Reperformance</t>
  </si>
  <si>
    <t xml:space="preserve">Sampling method</t>
  </si>
  <si>
    <t xml:space="preserve">Random selection using a random number generator over the report row numbers.</t>
  </si>
  <si>
    <t xml:space="preserve">Planned sample size</t>
  </si>
  <si>
    <t xml:space="preserve">Basis for sample size</t>
  </si>
  <si>
    <t xml:space="preserve">Methodology table for controls operating multiple times a day. See the Sample size guide tab for the confidence this implies.</t>
  </si>
  <si>
    <t xml:space="preserve">Attribute A</t>
  </si>
  <si>
    <t xml:space="preserve">Approver is a different person from the payment creator.</t>
  </si>
  <si>
    <t xml:space="preserve">Attribute B</t>
  </si>
  <si>
    <t xml:space="preserve">Payment amount agrees to the claim form and benefit calculation.</t>
  </si>
  <si>
    <t xml:space="preserve">Attribute C</t>
  </si>
  <si>
    <t xml:space="preserve">Bank details agree to verified member records.</t>
  </si>
  <si>
    <t xml:space="preserve">Attribute D</t>
  </si>
  <si>
    <t xml:space="preserve">Approval evidenced in the system before payment release.</t>
  </si>
  <si>
    <t xml:space="preserve">Tester</t>
  </si>
  <si>
    <t xml:space="preserve">Operational Risk Analyst</t>
  </si>
  <si>
    <t xml:space="preserve">Date testing completed</t>
  </si>
  <si>
    <t xml:space="preserve">Sample results</t>
  </si>
  <si>
    <t xml:space="preserve">One row per item tested. Record Yes (met), No (not met) or N/A for each attribute.</t>
  </si>
  <si>
    <t xml:space="preserve">#</t>
  </si>
  <si>
    <t xml:space="preserve">Item reference</t>
  </si>
  <si>
    <t xml:space="preserve">Item date</t>
  </si>
  <si>
    <t xml:space="preserve">Exception?</t>
  </si>
  <si>
    <t xml:space="preserve">Exception description</t>
  </si>
  <si>
    <t xml:space="preserve">Evidence reference</t>
  </si>
  <si>
    <t xml:space="preserve">Tester notes</t>
  </si>
  <si>
    <t xml:space="preserve">Tests:</t>
  </si>
  <si>
    <t xml:space="preserve">PAY-260173</t>
  </si>
  <si>
    <t xml:space="preserve">Screenshot folder CT-2026-07/01</t>
  </si>
  <si>
    <t xml:space="preserve">PAY-260346</t>
  </si>
  <si>
    <t xml:space="preserve">Screenshot folder CT-2026-07/02</t>
  </si>
  <si>
    <t xml:space="preserve">PAY-260519</t>
  </si>
  <si>
    <t xml:space="preserve">Screenshot folder CT-2026-07/03</t>
  </si>
  <si>
    <t xml:space="preserve">PAY-260692</t>
  </si>
  <si>
    <t xml:space="preserve">Screenshot folder CT-2026-07/04</t>
  </si>
  <si>
    <t xml:space="preserve">PAY-260865</t>
  </si>
  <si>
    <t xml:space="preserve">Screenshot folder CT-2026-07/05</t>
  </si>
  <si>
    <t xml:space="preserve">PAY-261038</t>
  </si>
  <si>
    <t xml:space="preserve">Screenshot folder CT-2026-07/06</t>
  </si>
  <si>
    <t xml:space="preserve">PAY-261211</t>
  </si>
  <si>
    <t xml:space="preserve">Screenshot folder CT-2026-07/07</t>
  </si>
  <si>
    <t xml:space="preserve">PAY-261384</t>
  </si>
  <si>
    <t xml:space="preserve">Screenshot folder CT-2026-07/08</t>
  </si>
  <si>
    <t xml:space="preserve">PAY-261557</t>
  </si>
  <si>
    <t xml:space="preserve">Screenshot folder CT-2026-07/09</t>
  </si>
  <si>
    <t xml:space="preserve">PAY-261730</t>
  </si>
  <si>
    <t xml:space="preserve">Screenshot folder CT-2026-07/10</t>
  </si>
  <si>
    <t xml:space="preserve">PAY-261903</t>
  </si>
  <si>
    <t xml:space="preserve">Screenshot folder CT-2026-07/11</t>
  </si>
  <si>
    <t xml:space="preserve">PAY-262076</t>
  </si>
  <si>
    <t xml:space="preserve">Screenshot folder CT-2026-07/12</t>
  </si>
  <si>
    <t xml:space="preserve">PAY-262249</t>
  </si>
  <si>
    <t xml:space="preserve">Screenshot folder CT-2026-07/13</t>
  </si>
  <si>
    <t xml:space="preserve">PAY-262422</t>
  </si>
  <si>
    <t xml:space="preserve">No</t>
  </si>
  <si>
    <t xml:space="preserve">Approval recorded 40 minutes after payment release. Payment was valid, but the control did not operate before release.</t>
  </si>
  <si>
    <t xml:space="preserve">Screenshot folder CT-2026-07/14</t>
  </si>
  <si>
    <t xml:space="preserve">Confirmed with Payments Team Leader: a system override was used during an outage. Override log reviewed.</t>
  </si>
  <si>
    <t xml:space="preserve">PAY-262595</t>
  </si>
  <si>
    <t xml:space="preserve">Screenshot folder CT-2026-07/15</t>
  </si>
  <si>
    <t xml:space="preserve">PAY-262768</t>
  </si>
  <si>
    <t xml:space="preserve">Screenshot folder CT-2026-07/16</t>
  </si>
  <si>
    <t xml:space="preserve">PAY-262941</t>
  </si>
  <si>
    <t xml:space="preserve">Screenshot folder CT-2026-07/17</t>
  </si>
  <si>
    <t xml:space="preserve">PAY-263114</t>
  </si>
  <si>
    <t xml:space="preserve">Screenshot folder CT-2026-07/18</t>
  </si>
  <si>
    <t xml:space="preserve">PAY-263287</t>
  </si>
  <si>
    <t xml:space="preserve">Screenshot folder CT-2026-07/19</t>
  </si>
  <si>
    <t xml:space="preserve">PAY-263460</t>
  </si>
  <si>
    <t xml:space="preserve">Screenshot folder CT-2026-07/20</t>
  </si>
  <si>
    <t xml:space="preserve">PAY-263633</t>
  </si>
  <si>
    <t xml:space="preserve">Screenshot folder CT-2026-07/21</t>
  </si>
  <si>
    <t xml:space="preserve">PAY-263806</t>
  </si>
  <si>
    <t xml:space="preserve">Screenshot folder CT-2026-07/22</t>
  </si>
  <si>
    <t xml:space="preserve">PAY-263979</t>
  </si>
  <si>
    <t xml:space="preserve">Screenshot folder CT-2026-07/23</t>
  </si>
  <si>
    <t xml:space="preserve">PAY-264152</t>
  </si>
  <si>
    <t xml:space="preserve">Screenshot folder CT-2026-07/24</t>
  </si>
  <si>
    <t xml:space="preserve">PAY-264325</t>
  </si>
  <si>
    <t xml:space="preserve">Screenshot folder CT-2026-07/25</t>
  </si>
  <si>
    <t xml:space="preserve">Results and conclusion</t>
  </si>
  <si>
    <t xml:space="preserve">Calculated results update from the Sample results tab. Fill in the yellow cells.</t>
  </si>
  <si>
    <t xml:space="preserve">Results</t>
  </si>
  <si>
    <t xml:space="preserve">Items tested</t>
  </si>
  <si>
    <t xml:space="preserve">Exceptions (items with at least one 'No')</t>
  </si>
  <si>
    <t xml:space="preserve">Exception rate in the sample</t>
  </si>
  <si>
    <t xml:space="preserve">Exceptions by attribute (A / B / C / D)</t>
  </si>
  <si>
    <t xml:space="preserve">Statistical check (optional)</t>
  </si>
  <si>
    <t xml:space="preserve">Confidence level</t>
  </si>
  <si>
    <t xml:space="preserve">Tolerable exception rate</t>
  </si>
  <si>
    <t xml:space="preserve">Statistical result</t>
  </si>
  <si>
    <t xml:space="preserve">Sample complete?</t>
  </si>
  <si>
    <t xml:space="preserve">Conclusion</t>
  </si>
  <si>
    <t xml:space="preserve">Root cause of exceptions</t>
  </si>
  <si>
    <t xml:space="preserve">A system override used during a payment platform outage let a payment release before approval. Override use was not reviewed after the event.</t>
  </si>
  <si>
    <t xml:space="preserve">Is an exception isolated or systemic? (reasoning)</t>
  </si>
  <si>
    <t xml:space="preserve">Isolated to one outage day, but the override process is a design gap: it could recur in any outage.</t>
  </si>
  <si>
    <t xml:space="preserve">Operating effectiveness conclusion</t>
  </si>
  <si>
    <t xml:space="preserve">Partially effective</t>
  </si>
  <si>
    <t xml:space="preserve">Overall control rating</t>
  </si>
  <si>
    <t xml:space="preserve">Findings and agreed actions</t>
  </si>
  <si>
    <t xml:space="preserve">1. Require retrospective approval and second-line review of every override (owner: Payments Team Leader, due 30/09/2026).
2. Add override use to the monthly payments KRI report.</t>
  </si>
  <si>
    <t xml:space="preserve">Issue raised in issues register?</t>
  </si>
  <si>
    <t xml:space="preserve">Sign-off</t>
  </si>
  <si>
    <t xml:space="preserve">Prepared by</t>
  </si>
  <si>
    <t xml:space="preserve">Date prepared</t>
  </si>
  <si>
    <t xml:space="preserve">Reviewed by</t>
  </si>
  <si>
    <t xml:space="preserve">Operational Risk Manager</t>
  </si>
  <si>
    <t xml:space="preserve">Date reviewed</t>
  </si>
  <si>
    <t xml:space="preserve">Reviewer comments</t>
  </si>
  <si>
    <t xml:space="preserve">Agree with conclusion. Confirm override review is added to the control description once implemented.</t>
  </si>
  <si>
    <t xml:space="preserve">Sample size guide (attribute sampling)</t>
  </si>
  <si>
    <t xml:space="preserve">Minimum sample sizes for a large population, from the binomial distribution.</t>
  </si>
  <si>
    <t xml:space="preserve">Confidence</t>
  </si>
  <si>
    <t xml:space="preserve">0 exceptions allowed</t>
  </si>
  <si>
    <t xml:space="preserve">1 exception allowed</t>
  </si>
  <si>
    <t xml:space="preserve">2 exceptions allowed</t>
  </si>
  <si>
    <t xml:space="preserve">How to read it: to be 95% confident the true exception rate is no more than 10%, test 29 items and find no exceptions, or 46 items and find no more than one.</t>
  </si>
  <si>
    <t xml:space="preserve">These sizes assume a random sample from a large population. For small populations (e.g. a quarterly control with four occurrences), many testers test all or most occurrences instead.</t>
  </si>
  <si>
    <t xml:space="preserve">Many organisations set sample sizes by control frequency in their testing methodology. Those tables are practical; this guide helps show the level of confidence they imply.</t>
  </si>
  <si>
    <t xml:space="preserve">More explanation and an interactive calculator: https://hayesskvaril-ctrl.github.io/risk-management/control-testing-sampling.html</t>
  </si>
  <si>
    <t xml:space="preserve">Drop-down lists</t>
  </si>
  <si>
    <t xml:space="preserve">Edit these values to suit your organisation. The drop-downs read from this tab.</t>
  </si>
  <si>
    <t xml:space="preserve">Design</t>
  </si>
  <si>
    <t xml:space="preserve">Result</t>
  </si>
  <si>
    <t xml:space="preserve">Yes / No</t>
  </si>
  <si>
    <t xml:space="preserve">Manual</t>
  </si>
  <si>
    <t xml:space="preserve">Inquiry only</t>
  </si>
  <si>
    <t xml:space="preserve">Daily</t>
  </si>
  <si>
    <t xml:space="preserve">Detective</t>
  </si>
  <si>
    <t xml:space="preserve">Inquiry and observation</t>
  </si>
  <si>
    <t xml:space="preserve">Weekly</t>
  </si>
  <si>
    <t xml:space="preserve">Corrective</t>
  </si>
  <si>
    <t xml:space="preserve">Automated</t>
  </si>
  <si>
    <t xml:space="preserve">Inspection of evidence</t>
  </si>
  <si>
    <t xml:space="preserve">Ineffective</t>
  </si>
  <si>
    <t xml:space="preserve">N/A</t>
  </si>
  <si>
    <t xml:space="preserve">Monthly</t>
  </si>
  <si>
    <t xml:space="preserve">Unable to conclude</t>
  </si>
  <si>
    <t xml:space="preserve">Quarterly</t>
  </si>
  <si>
    <t xml:space="preserve">Combination</t>
  </si>
  <si>
    <t xml:space="preserve">Annually</t>
  </si>
  <si>
    <t xml:space="preserve">Event-driven</t>
  </si>
</sst>
</file>

<file path=xl/styles.xml><?xml version="1.0" encoding="utf-8"?>
<styleSheet xmlns="http://schemas.openxmlformats.org/spreadsheetml/2006/main">
  <numFmts count="6">
    <numFmt numFmtId="164" formatCode="General"/>
    <numFmt numFmtId="165" formatCode="dd/mm/yyyy"/>
    <numFmt numFmtId="166" formatCode="#,##0"/>
    <numFmt numFmtId="167" formatCode="0"/>
    <numFmt numFmtId="168" formatCode="0.0%"/>
    <numFmt numFmtId="169" formatCode="0%"/>
  </numFmts>
  <fonts count="12">
    <font>
      <sz val="11"/>
      <color theme="1"/>
      <name val="Calibri"/>
      <family val="2"/>
      <charset val="1"/>
    </font>
    <font>
      <sz val="10"/>
      <name val="Arial"/>
      <family val="0"/>
    </font>
    <font>
      <sz val="10"/>
      <name val="Arial"/>
      <family val="0"/>
    </font>
    <font>
      <sz val="10"/>
      <name val="Arial"/>
      <family val="0"/>
    </font>
    <font>
      <b val="true"/>
      <sz val="16"/>
      <color rgb="FF0F2942"/>
      <name val="Arial"/>
      <family val="0"/>
      <charset val="1"/>
    </font>
    <font>
      <i val="true"/>
      <sz val="10"/>
      <color rgb="FF4A5568"/>
      <name val="Arial"/>
      <family val="0"/>
      <charset val="1"/>
    </font>
    <font>
      <b val="true"/>
      <sz val="11"/>
      <color rgb="FF0F2942"/>
      <name val="Arial"/>
      <family val="0"/>
      <charset val="1"/>
    </font>
    <font>
      <sz val="10"/>
      <color rgb="FF000000"/>
      <name val="Arial"/>
      <family val="0"/>
      <charset val="1"/>
    </font>
    <font>
      <b val="true"/>
      <sz val="12"/>
      <color rgb="FF0F2942"/>
      <name val="Arial"/>
      <family val="0"/>
      <charset val="1"/>
    </font>
    <font>
      <b val="true"/>
      <sz val="10"/>
      <color rgb="FF000000"/>
      <name val="Arial"/>
      <family val="0"/>
      <charset val="1"/>
    </font>
    <font>
      <b val="true"/>
      <sz val="10"/>
      <color rgb="FFFFFFFF"/>
      <name val="Arial"/>
      <family val="0"/>
      <charset val="1"/>
    </font>
    <font>
      <i val="true"/>
      <sz val="8"/>
      <color rgb="FF4A5568"/>
      <name val="Arial"/>
      <family val="0"/>
      <charset val="1"/>
    </font>
  </fonts>
  <fills count="6">
    <fill>
      <patternFill patternType="none"/>
    </fill>
    <fill>
      <patternFill patternType="gray125"/>
    </fill>
    <fill>
      <patternFill patternType="solid">
        <fgColor rgb="FFFFF7D6"/>
        <bgColor rgb="FFEEF2F7"/>
      </patternFill>
    </fill>
    <fill>
      <patternFill patternType="solid">
        <fgColor rgb="FF0F2942"/>
        <bgColor rgb="FF333333"/>
      </patternFill>
    </fill>
    <fill>
      <patternFill patternType="solid">
        <fgColor rgb="FFEEF2F7"/>
        <bgColor rgb="FFE7F6EC"/>
      </patternFill>
    </fill>
    <fill>
      <patternFill patternType="solid">
        <fgColor rgb="FFE7F6EC"/>
        <bgColor rgb="FFEEF2F7"/>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5" fontId="7" fillId="2" borderId="1" xfId="0" applyFont="true" applyBorder="true" applyAlignment="true" applyProtection="false">
      <alignment horizontal="left" vertical="top" textRotation="0" wrapText="true" indent="0" shrinkToFit="false"/>
      <protection locked="true" hidden="false"/>
    </xf>
    <xf numFmtId="166" fontId="7" fillId="2"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7"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7" fontId="7" fillId="4" borderId="1" xfId="0" applyFont="true" applyBorder="true" applyAlignment="true" applyProtection="false">
      <alignment horizontal="left" vertical="top" textRotation="0" wrapText="true" indent="0" shrinkToFit="false"/>
      <protection locked="true" hidden="false"/>
    </xf>
    <xf numFmtId="168" fontId="7"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9" fontId="7" fillId="2" borderId="1" xfId="0" applyFont="true" applyBorder="true" applyAlignment="true" applyProtection="false">
      <alignment horizontal="left" vertical="top" textRotation="0" wrapText="true" indent="0" shrinkToFit="false"/>
      <protection locked="true" hidden="false"/>
    </xf>
    <xf numFmtId="169" fontId="7" fillId="4" borderId="1" xfId="0" applyFont="true" applyBorder="true" applyAlignment="true" applyProtection="false">
      <alignment horizontal="center" vertical="top" textRotation="0" wrapText="true" indent="0" shrinkToFit="false"/>
      <protection locked="true" hidden="false"/>
    </xf>
    <xf numFmtId="167" fontId="7" fillId="4"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9" fontId="7"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F2942"/>
          <bgColor rgb="FF000000"/>
        </patternFill>
      </fill>
    </dxf>
    <dxf>
      <fill>
        <patternFill patternType="solid">
          <fgColor rgb="FFEEF2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7F6EC"/>
          <bgColor rgb="FF000000"/>
        </patternFill>
      </fill>
    </dxf>
    <dxf>
      <fill>
        <patternFill patternType="solid">
          <fgColor rgb="FFFFF7D6"/>
          <bgColor rgb="FF000000"/>
        </patternFill>
      </fill>
    </dxf>
    <dxf>
      <fill>
        <patternFill patternType="solid">
          <fgColor rgb="FF4A5568"/>
          <bgColor rgb="FF000000"/>
        </patternFill>
      </fill>
    </dxf>
    <dxf>
      <fill>
        <patternFill patternType="solid">
          <fgColor rgb="FFFCA5A5"/>
          <bgColor rgb="FF000000"/>
        </patternFill>
      </fill>
    </dxf>
    <dxf>
      <fill>
        <patternFill>
          <bgColor rgb="FFFCA5A5"/>
        </patternFill>
      </fill>
    </dxf>
    <dxf>
      <fill>
        <patternFill>
          <bgColor rgb="FFBFE5C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D6"/>
      <rgbColor rgb="FFE7F6EC"/>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EEF2F7"/>
      <rgbColor rgb="FFBFE5CB"/>
      <rgbColor rgb="FFFFFF99"/>
      <rgbColor rgb="FF99CCFF"/>
      <rgbColor rgb="FFFCA5A5"/>
      <rgbColor rgb="FFCC99FF"/>
      <rgbColor rgb="FFFFCC99"/>
      <rgbColor rgb="FF3366FF"/>
      <rgbColor rgb="FF33CCCC"/>
      <rgbColor rgb="FF99CC00"/>
      <rgbColor rgb="FFFFCC00"/>
      <rgbColor rgb="FFFF9900"/>
      <rgbColor rgb="FFFF6600"/>
      <rgbColor rgb="FF4A5568"/>
      <rgbColor rgb="FF969696"/>
      <rgbColor rgb="FF0F294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25.5" hidden="false" customHeight="true" outlineLevel="0" collapsed="false">
      <c r="A1" s="1" t="s">
        <v>0</v>
      </c>
    </row>
    <row r="2" customFormat="false" ht="15" hidden="false" customHeight="false" outlineLevel="0" collapsed="false">
      <c r="A2" s="2" t="s">
        <v>1</v>
      </c>
    </row>
    <row r="4" customFormat="false" ht="60" hidden="false" customHeight="true" outlineLevel="0" collapsed="false">
      <c r="A4" s="3" t="s">
        <v>2</v>
      </c>
      <c r="B4" s="4" t="s">
        <v>3</v>
      </c>
    </row>
    <row r="5" customFormat="false" ht="150" hidden="false" customHeight="true" outlineLevel="0" collapsed="false">
      <c r="A5" s="3" t="s">
        <v>4</v>
      </c>
      <c r="B5" s="4" t="s">
        <v>5</v>
      </c>
    </row>
    <row r="6" customFormat="false" ht="30" hidden="false" customHeight="true" outlineLevel="0" collapsed="false">
      <c r="A6" s="3" t="s">
        <v>6</v>
      </c>
      <c r="B6" s="4" t="s">
        <v>7</v>
      </c>
    </row>
    <row r="7" customFormat="false" ht="75" hidden="false" customHeight="true" outlineLevel="0" collapsed="false">
      <c r="A7" s="3" t="s">
        <v>8</v>
      </c>
      <c r="B7" s="4" t="s">
        <v>9</v>
      </c>
    </row>
    <row r="8" customFormat="false" ht="60" hidden="false" customHeight="true" outlineLevel="0" collapsed="false">
      <c r="A8" s="3" t="s">
        <v>10</v>
      </c>
      <c r="B8" s="4" t="s">
        <v>11</v>
      </c>
    </row>
    <row r="9" customFormat="false" ht="45" hidden="false" customHeight="true" outlineLevel="0" collapsed="false">
      <c r="A9" s="3" t="s">
        <v>12</v>
      </c>
      <c r="B9" s="4" t="s">
        <v>13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80"/>
  </cols>
  <sheetData>
    <row r="1" customFormat="false" ht="25.5" hidden="false" customHeight="true" outlineLevel="0" collapsed="false">
      <c r="A1" s="1" t="s">
        <v>14</v>
      </c>
    </row>
    <row r="2" customFormat="false" ht="15" hidden="false" customHeight="false" outlineLevel="0" collapsed="false">
      <c r="A2" s="2" t="s">
        <v>15</v>
      </c>
    </row>
    <row r="4" customFormat="false" ht="15" hidden="false" customHeight="false" outlineLevel="0" collapsed="false">
      <c r="A4" s="5" t="s">
        <v>16</v>
      </c>
    </row>
    <row r="5" customFormat="false" ht="15" hidden="false" customHeight="false" outlineLevel="0" collapsed="false">
      <c r="A5" s="6" t="s">
        <v>17</v>
      </c>
      <c r="B5" s="7" t="s">
        <v>18</v>
      </c>
    </row>
    <row r="6" customFormat="false" ht="15" hidden="false" customHeight="false" outlineLevel="0" collapsed="false">
      <c r="A6" s="6" t="s">
        <v>19</v>
      </c>
      <c r="B6" s="7" t="s">
        <v>20</v>
      </c>
    </row>
    <row r="7" customFormat="false" ht="45" hidden="false" customHeight="true" outlineLevel="0" collapsed="false">
      <c r="A7" s="6" t="s">
        <v>21</v>
      </c>
      <c r="B7" s="7" t="s">
        <v>22</v>
      </c>
    </row>
    <row r="8" customFormat="false" ht="30" hidden="false" customHeight="true" outlineLevel="0" collapsed="false">
      <c r="A8" s="6" t="s">
        <v>23</v>
      </c>
      <c r="B8" s="7" t="s">
        <v>24</v>
      </c>
    </row>
    <row r="9" customFormat="false" ht="15" hidden="false" customHeight="true" outlineLevel="0" collapsed="false">
      <c r="A9" s="6" t="s">
        <v>25</v>
      </c>
      <c r="B9" s="7" t="s">
        <v>26</v>
      </c>
    </row>
    <row r="10" customFormat="false" ht="15" hidden="false" customHeight="false" outlineLevel="0" collapsed="false">
      <c r="A10" s="6" t="s">
        <v>27</v>
      </c>
      <c r="B10" s="7" t="s">
        <v>28</v>
      </c>
    </row>
    <row r="11" customFormat="false" ht="15" hidden="false" customHeight="false" outlineLevel="0" collapsed="false">
      <c r="A11" s="6" t="s">
        <v>29</v>
      </c>
      <c r="B11" s="7" t="s">
        <v>30</v>
      </c>
    </row>
    <row r="12" customFormat="false" ht="15" hidden="false" customHeight="false" outlineLevel="0" collapsed="false">
      <c r="A12" s="6" t="s">
        <v>31</v>
      </c>
      <c r="B12" s="7" t="s">
        <v>32</v>
      </c>
    </row>
    <row r="13" customFormat="false" ht="15" hidden="false" customHeight="false" outlineLevel="0" collapsed="false">
      <c r="A13" s="6" t="s">
        <v>33</v>
      </c>
      <c r="B13" s="7" t="s">
        <v>34</v>
      </c>
    </row>
    <row r="14" customFormat="false" ht="15" hidden="false" customHeight="false" outlineLevel="0" collapsed="false">
      <c r="A14" s="6" t="s">
        <v>35</v>
      </c>
      <c r="B14" s="7" t="s">
        <v>36</v>
      </c>
    </row>
    <row r="15" customFormat="false" ht="15" hidden="false" customHeight="false" outlineLevel="0" collapsed="false">
      <c r="A15" s="5" t="s">
        <v>37</v>
      </c>
    </row>
    <row r="16" customFormat="false" ht="45" hidden="false" customHeight="true" outlineLevel="0" collapsed="false">
      <c r="A16" s="6" t="s">
        <v>38</v>
      </c>
      <c r="B16" s="7" t="s">
        <v>39</v>
      </c>
    </row>
    <row r="17" customFormat="false" ht="30" hidden="false" customHeight="true" outlineLevel="0" collapsed="false">
      <c r="A17" s="6" t="s">
        <v>40</v>
      </c>
      <c r="B17" s="7" t="s">
        <v>41</v>
      </c>
    </row>
    <row r="18" customFormat="false" ht="15" hidden="false" customHeight="false" outlineLevel="0" collapsed="false">
      <c r="A18" s="6" t="s">
        <v>42</v>
      </c>
      <c r="B18" s="7" t="s">
        <v>43</v>
      </c>
    </row>
    <row r="19" customFormat="false" ht="15" hidden="false" customHeight="false" outlineLevel="0" collapsed="false">
      <c r="A19" s="5" t="s">
        <v>44</v>
      </c>
    </row>
    <row r="20" customFormat="false" ht="15" hidden="false" customHeight="false" outlineLevel="0" collapsed="false">
      <c r="A20" s="6" t="s">
        <v>45</v>
      </c>
      <c r="B20" s="8" t="n">
        <v>46023</v>
      </c>
    </row>
    <row r="21" customFormat="false" ht="15" hidden="false" customHeight="false" outlineLevel="0" collapsed="false">
      <c r="A21" s="6" t="s">
        <v>46</v>
      </c>
      <c r="B21" s="8" t="n">
        <v>46203</v>
      </c>
    </row>
    <row r="22" customFormat="false" ht="30" hidden="false" customHeight="true" outlineLevel="0" collapsed="false">
      <c r="A22" s="6" t="s">
        <v>47</v>
      </c>
      <c r="B22" s="7" t="s">
        <v>48</v>
      </c>
    </row>
    <row r="23" customFormat="false" ht="15" hidden="false" customHeight="false" outlineLevel="0" collapsed="false">
      <c r="A23" s="6" t="s">
        <v>49</v>
      </c>
      <c r="B23" s="9" t="n">
        <v>4830</v>
      </c>
    </row>
    <row r="24" customFormat="false" ht="30" hidden="false" customHeight="true" outlineLevel="0" collapsed="false">
      <c r="A24" s="6" t="s">
        <v>50</v>
      </c>
      <c r="B24" s="7" t="s">
        <v>51</v>
      </c>
    </row>
    <row r="25" customFormat="false" ht="15" hidden="false" customHeight="false" outlineLevel="0" collapsed="false">
      <c r="A25" s="6" t="s">
        <v>52</v>
      </c>
      <c r="B25" s="7" t="s">
        <v>53</v>
      </c>
    </row>
    <row r="26" customFormat="false" ht="30" hidden="false" customHeight="true" outlineLevel="0" collapsed="false">
      <c r="A26" s="6" t="s">
        <v>54</v>
      </c>
      <c r="B26" s="7" t="s">
        <v>55</v>
      </c>
    </row>
    <row r="27" customFormat="false" ht="15" hidden="false" customHeight="false" outlineLevel="0" collapsed="false">
      <c r="A27" s="6" t="s">
        <v>56</v>
      </c>
      <c r="B27" s="7" t="n">
        <v>25</v>
      </c>
    </row>
    <row r="28" customFormat="false" ht="30" hidden="false" customHeight="true" outlineLevel="0" collapsed="false">
      <c r="A28" s="6" t="s">
        <v>57</v>
      </c>
      <c r="B28" s="7" t="s">
        <v>58</v>
      </c>
    </row>
    <row r="29" customFormat="false" ht="15" hidden="false" customHeight="false" outlineLevel="0" collapsed="false">
      <c r="A29" s="6" t="s">
        <v>59</v>
      </c>
      <c r="B29" s="7" t="s">
        <v>60</v>
      </c>
    </row>
    <row r="30" customFormat="false" ht="15" hidden="false" customHeight="false" outlineLevel="0" collapsed="false">
      <c r="A30" s="6" t="s">
        <v>61</v>
      </c>
      <c r="B30" s="7" t="s">
        <v>62</v>
      </c>
    </row>
    <row r="31" customFormat="false" ht="15" hidden="false" customHeight="false" outlineLevel="0" collapsed="false">
      <c r="A31" s="6" t="s">
        <v>63</v>
      </c>
      <c r="B31" s="7" t="s">
        <v>64</v>
      </c>
    </row>
    <row r="32" customFormat="false" ht="15" hidden="false" customHeight="false" outlineLevel="0" collapsed="false">
      <c r="A32" s="6" t="s">
        <v>65</v>
      </c>
      <c r="B32" s="7" t="s">
        <v>66</v>
      </c>
    </row>
    <row r="33" customFormat="false" ht="15" hidden="false" customHeight="false" outlineLevel="0" collapsed="false">
      <c r="A33" s="6" t="s">
        <v>67</v>
      </c>
      <c r="B33" s="7" t="s">
        <v>68</v>
      </c>
    </row>
    <row r="34" customFormat="false" ht="15" hidden="false" customHeight="false" outlineLevel="0" collapsed="false">
      <c r="A34" s="6" t="s">
        <v>69</v>
      </c>
      <c r="B34" s="8" t="n">
        <v>46227</v>
      </c>
    </row>
  </sheetData>
  <dataValidations count="6">
    <dataValidation allowBlank="true" error="Please choose a value from the drop-down list." errorStyle="stop" operator="between" showDropDown="false" showErrorMessage="true" showInputMessage="false" sqref="B11" type="list">
      <formula1>Lists!$A$5:$A$11</formula1>
      <formula2>0</formula2>
    </dataValidation>
    <dataValidation allowBlank="true" error="Please choose a value from the drop-down list." errorStyle="stop" operator="between" showDropDown="false" showErrorMessage="true" showInputMessage="false" sqref="B12" type="list">
      <formula1>Lists!$B$5:$B$7</formula1>
      <formula2>0</formula2>
    </dataValidation>
    <dataValidation allowBlank="true" error="Please choose a value from the drop-down list." errorStyle="stop" operator="between" showDropDown="false" showErrorMessage="true" showInputMessage="false" sqref="B13" type="list">
      <formula1>Lists!$C$5:$C$7</formula1>
      <formula2>0</formula2>
    </dataValidation>
    <dataValidation allowBlank="true" error="Please choose a value from the drop-down list." errorStyle="stop" operator="between" showDropDown="false" showErrorMessage="true" showInputMessage="false" sqref="B14" type="list">
      <formula1>Lists!$I$5:$I$6</formula1>
      <formula2>0</formula2>
    </dataValidation>
    <dataValidation allowBlank="true" error="Please choose a value from the drop-down list." errorStyle="stop" operator="between" showDropDown="false" showErrorMessage="true" showInputMessage="false" sqref="B18" type="list">
      <formula1>Lists!$E$5:$E$7</formula1>
      <formula2>0</formula2>
    </dataValidation>
    <dataValidation allowBlank="true" error="Please choose a value from the drop-down list." errorStyle="stop" operator="between" showDropDown="false" showErrorMessage="true" showInputMessage="false" sqref="B25" type="list">
      <formula1>Lists!$D$5:$D$9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12"/>
    <col collapsed="false" customWidth="true" hidden="false" outlineLevel="0" max="7" min="4" style="0" width="14"/>
    <col collapsed="false" customWidth="true" hidden="false" outlineLevel="0" max="8" min="8" style="0" width="11"/>
    <col collapsed="false" customWidth="true" hidden="false" outlineLevel="0" max="9" min="9" style="0" width="40"/>
    <col collapsed="false" customWidth="true" hidden="false" outlineLevel="0" max="10" min="10" style="0" width="18"/>
    <col collapsed="false" customWidth="true" hidden="false" outlineLevel="0" max="11" min="11" style="0" width="30"/>
  </cols>
  <sheetData>
    <row r="1" customFormat="false" ht="25.5" hidden="false" customHeight="true" outlineLevel="0" collapsed="false">
      <c r="A1" s="1" t="s">
        <v>70</v>
      </c>
    </row>
    <row r="2" customFormat="false" ht="15" hidden="false" customHeight="false" outlineLevel="0" collapsed="false">
      <c r="A2" s="2" t="s">
        <v>71</v>
      </c>
    </row>
    <row r="4" customFormat="false" ht="30" hidden="false" customHeight="true" outlineLevel="0" collapsed="false">
      <c r="A4" s="10" t="s">
        <v>72</v>
      </c>
      <c r="B4" s="10" t="s">
        <v>73</v>
      </c>
      <c r="C4" s="10" t="s">
        <v>74</v>
      </c>
      <c r="D4" s="10" t="s">
        <v>59</v>
      </c>
      <c r="E4" s="10" t="s">
        <v>61</v>
      </c>
      <c r="F4" s="10" t="s">
        <v>63</v>
      </c>
      <c r="G4" s="10" t="s">
        <v>65</v>
      </c>
      <c r="H4" s="10" t="s">
        <v>75</v>
      </c>
      <c r="I4" s="10" t="s">
        <v>76</v>
      </c>
      <c r="J4" s="10" t="s">
        <v>77</v>
      </c>
      <c r="K4" s="10" t="s">
        <v>78</v>
      </c>
    </row>
    <row r="5" customFormat="false" ht="60" hidden="false" customHeight="true" outlineLevel="0" collapsed="false">
      <c r="A5" s="11" t="s">
        <v>79</v>
      </c>
      <c r="B5" s="12"/>
      <c r="C5" s="12"/>
      <c r="D5" s="13" t="str">
        <f aca="false">'Test plan'!B29</f>
        <v>Approver is a different person from the payment creator.</v>
      </c>
      <c r="E5" s="13" t="str">
        <f aca="false">'Test plan'!B30</f>
        <v>Payment amount agrees to the claim form and benefit calculation.</v>
      </c>
      <c r="F5" s="13" t="str">
        <f aca="false">'Test plan'!B31</f>
        <v>Bank details agree to verified member records.</v>
      </c>
      <c r="G5" s="13" t="str">
        <f aca="false">'Test plan'!B32</f>
        <v>Approval evidenced in the system before payment release.</v>
      </c>
      <c r="H5" s="12"/>
      <c r="I5" s="12"/>
      <c r="J5" s="12"/>
      <c r="K5" s="12"/>
    </row>
    <row r="6" customFormat="false" ht="23.85" hidden="false" customHeight="false" outlineLevel="0" collapsed="false">
      <c r="A6" s="14" t="n">
        <v>1</v>
      </c>
      <c r="B6" s="15" t="s">
        <v>80</v>
      </c>
      <c r="C6" s="16" t="n">
        <v>46025</v>
      </c>
      <c r="D6" s="17" t="s">
        <v>36</v>
      </c>
      <c r="E6" s="17" t="s">
        <v>36</v>
      </c>
      <c r="F6" s="17" t="s">
        <v>36</v>
      </c>
      <c r="G6" s="17" t="s">
        <v>36</v>
      </c>
      <c r="H6" s="14" t="str">
        <f aca="false">IF(COUNTA(D6:G6)=0,"",IF(COUNTIF(D6:G6,"No")&gt;0,"Yes","No"))</f>
        <v>No</v>
      </c>
      <c r="I6" s="15"/>
      <c r="J6" s="15" t="s">
        <v>81</v>
      </c>
      <c r="K6" s="15"/>
    </row>
    <row r="7" customFormat="false" ht="23.85" hidden="false" customHeight="false" outlineLevel="0" collapsed="false">
      <c r="A7" s="14" t="n">
        <v>2</v>
      </c>
      <c r="B7" s="15" t="s">
        <v>82</v>
      </c>
      <c r="C7" s="16" t="n">
        <v>46030</v>
      </c>
      <c r="D7" s="17" t="s">
        <v>36</v>
      </c>
      <c r="E7" s="17" t="s">
        <v>36</v>
      </c>
      <c r="F7" s="17" t="s">
        <v>36</v>
      </c>
      <c r="G7" s="17" t="s">
        <v>36</v>
      </c>
      <c r="H7" s="14" t="str">
        <f aca="false">IF(COUNTA(D7:G7)=0,"",IF(COUNTIF(D7:G7,"No")&gt;0,"Yes","No"))</f>
        <v>No</v>
      </c>
      <c r="I7" s="15"/>
      <c r="J7" s="15" t="s">
        <v>83</v>
      </c>
      <c r="K7" s="15"/>
    </row>
    <row r="8" customFormat="false" ht="23.85" hidden="false" customHeight="false" outlineLevel="0" collapsed="false">
      <c r="A8" s="14" t="n">
        <v>3</v>
      </c>
      <c r="B8" s="15" t="s">
        <v>84</v>
      </c>
      <c r="C8" s="16" t="n">
        <v>46035</v>
      </c>
      <c r="D8" s="17" t="s">
        <v>36</v>
      </c>
      <c r="E8" s="17" t="s">
        <v>36</v>
      </c>
      <c r="F8" s="17" t="s">
        <v>36</v>
      </c>
      <c r="G8" s="17" t="s">
        <v>36</v>
      </c>
      <c r="H8" s="14" t="str">
        <f aca="false">IF(COUNTA(D8:G8)=0,"",IF(COUNTIF(D8:G8,"No")&gt;0,"Yes","No"))</f>
        <v>No</v>
      </c>
      <c r="I8" s="15"/>
      <c r="J8" s="15" t="s">
        <v>85</v>
      </c>
      <c r="K8" s="15"/>
    </row>
    <row r="9" customFormat="false" ht="23.85" hidden="false" customHeight="false" outlineLevel="0" collapsed="false">
      <c r="A9" s="14" t="n">
        <v>4</v>
      </c>
      <c r="B9" s="15" t="s">
        <v>86</v>
      </c>
      <c r="C9" s="16" t="n">
        <v>46040</v>
      </c>
      <c r="D9" s="17" t="s">
        <v>36</v>
      </c>
      <c r="E9" s="17" t="s">
        <v>36</v>
      </c>
      <c r="F9" s="17" t="s">
        <v>36</v>
      </c>
      <c r="G9" s="17" t="s">
        <v>36</v>
      </c>
      <c r="H9" s="14" t="str">
        <f aca="false">IF(COUNTA(D9:G9)=0,"",IF(COUNTIF(D9:G9,"No")&gt;0,"Yes","No"))</f>
        <v>No</v>
      </c>
      <c r="I9" s="15"/>
      <c r="J9" s="15" t="s">
        <v>87</v>
      </c>
      <c r="K9" s="15"/>
    </row>
    <row r="10" customFormat="false" ht="23.85" hidden="false" customHeight="false" outlineLevel="0" collapsed="false">
      <c r="A10" s="14" t="n">
        <v>5</v>
      </c>
      <c r="B10" s="15" t="s">
        <v>88</v>
      </c>
      <c r="C10" s="16" t="n">
        <v>46045</v>
      </c>
      <c r="D10" s="17" t="s">
        <v>36</v>
      </c>
      <c r="E10" s="17" t="s">
        <v>36</v>
      </c>
      <c r="F10" s="17" t="s">
        <v>36</v>
      </c>
      <c r="G10" s="17" t="s">
        <v>36</v>
      </c>
      <c r="H10" s="14" t="str">
        <f aca="false">IF(COUNTA(D10:G10)=0,"",IF(COUNTIF(D10:G10,"No")&gt;0,"Yes","No"))</f>
        <v>No</v>
      </c>
      <c r="I10" s="15"/>
      <c r="J10" s="15" t="s">
        <v>89</v>
      </c>
      <c r="K10" s="15"/>
    </row>
    <row r="11" customFormat="false" ht="23.85" hidden="false" customHeight="false" outlineLevel="0" collapsed="false">
      <c r="A11" s="14" t="n">
        <v>6</v>
      </c>
      <c r="B11" s="15" t="s">
        <v>90</v>
      </c>
      <c r="C11" s="16" t="n">
        <v>46056</v>
      </c>
      <c r="D11" s="17" t="s">
        <v>36</v>
      </c>
      <c r="E11" s="17" t="s">
        <v>36</v>
      </c>
      <c r="F11" s="17" t="s">
        <v>36</v>
      </c>
      <c r="G11" s="17" t="s">
        <v>36</v>
      </c>
      <c r="H11" s="14" t="str">
        <f aca="false">IF(COUNTA(D11:G11)=0,"",IF(COUNTIF(D11:G11,"No")&gt;0,"Yes","No"))</f>
        <v>No</v>
      </c>
      <c r="I11" s="15"/>
      <c r="J11" s="15" t="s">
        <v>91</v>
      </c>
      <c r="K11" s="15"/>
    </row>
    <row r="12" customFormat="false" ht="23.85" hidden="false" customHeight="false" outlineLevel="0" collapsed="false">
      <c r="A12" s="14" t="n">
        <v>7</v>
      </c>
      <c r="B12" s="15" t="s">
        <v>92</v>
      </c>
      <c r="C12" s="16" t="n">
        <v>46061</v>
      </c>
      <c r="D12" s="17" t="s">
        <v>36</v>
      </c>
      <c r="E12" s="17" t="s">
        <v>36</v>
      </c>
      <c r="F12" s="17" t="s">
        <v>36</v>
      </c>
      <c r="G12" s="17" t="s">
        <v>36</v>
      </c>
      <c r="H12" s="14" t="str">
        <f aca="false">IF(COUNTA(D12:G12)=0,"",IF(COUNTIF(D12:G12,"No")&gt;0,"Yes","No"))</f>
        <v>No</v>
      </c>
      <c r="I12" s="15"/>
      <c r="J12" s="15" t="s">
        <v>93</v>
      </c>
      <c r="K12" s="15"/>
    </row>
    <row r="13" customFormat="false" ht="23.85" hidden="false" customHeight="false" outlineLevel="0" collapsed="false">
      <c r="A13" s="14" t="n">
        <v>8</v>
      </c>
      <c r="B13" s="15" t="s">
        <v>94</v>
      </c>
      <c r="C13" s="16" t="n">
        <v>46066</v>
      </c>
      <c r="D13" s="17" t="s">
        <v>36</v>
      </c>
      <c r="E13" s="17" t="s">
        <v>36</v>
      </c>
      <c r="F13" s="17" t="s">
        <v>36</v>
      </c>
      <c r="G13" s="17" t="s">
        <v>36</v>
      </c>
      <c r="H13" s="14" t="str">
        <f aca="false">IF(COUNTA(D13:G13)=0,"",IF(COUNTIF(D13:G13,"No")&gt;0,"Yes","No"))</f>
        <v>No</v>
      </c>
      <c r="I13" s="15"/>
      <c r="J13" s="15" t="s">
        <v>95</v>
      </c>
      <c r="K13" s="15"/>
    </row>
    <row r="14" customFormat="false" ht="23.85" hidden="false" customHeight="false" outlineLevel="0" collapsed="false">
      <c r="A14" s="14" t="n">
        <v>9</v>
      </c>
      <c r="B14" s="15" t="s">
        <v>96</v>
      </c>
      <c r="C14" s="16" t="n">
        <v>46071</v>
      </c>
      <c r="D14" s="17" t="s">
        <v>36</v>
      </c>
      <c r="E14" s="17" t="s">
        <v>36</v>
      </c>
      <c r="F14" s="17" t="s">
        <v>36</v>
      </c>
      <c r="G14" s="17" t="s">
        <v>36</v>
      </c>
      <c r="H14" s="14" t="str">
        <f aca="false">IF(COUNTA(D14:G14)=0,"",IF(COUNTIF(D14:G14,"No")&gt;0,"Yes","No"))</f>
        <v>No</v>
      </c>
      <c r="I14" s="15"/>
      <c r="J14" s="15" t="s">
        <v>97</v>
      </c>
      <c r="K14" s="15"/>
    </row>
    <row r="15" customFormat="false" ht="23.85" hidden="false" customHeight="false" outlineLevel="0" collapsed="false">
      <c r="A15" s="14" t="n">
        <v>10</v>
      </c>
      <c r="B15" s="15" t="s">
        <v>98</v>
      </c>
      <c r="C15" s="16" t="n">
        <v>46076</v>
      </c>
      <c r="D15" s="17" t="s">
        <v>36</v>
      </c>
      <c r="E15" s="17" t="s">
        <v>36</v>
      </c>
      <c r="F15" s="17" t="s">
        <v>36</v>
      </c>
      <c r="G15" s="17" t="s">
        <v>36</v>
      </c>
      <c r="H15" s="14" t="str">
        <f aca="false">IF(COUNTA(D15:G15)=0,"",IF(COUNTIF(D15:G15,"No")&gt;0,"Yes","No"))</f>
        <v>No</v>
      </c>
      <c r="I15" s="15"/>
      <c r="J15" s="15" t="s">
        <v>99</v>
      </c>
      <c r="K15" s="15"/>
    </row>
    <row r="16" customFormat="false" ht="23.85" hidden="false" customHeight="false" outlineLevel="0" collapsed="false">
      <c r="A16" s="14" t="n">
        <v>11</v>
      </c>
      <c r="B16" s="15" t="s">
        <v>100</v>
      </c>
      <c r="C16" s="16" t="n">
        <v>46084</v>
      </c>
      <c r="D16" s="17" t="s">
        <v>36</v>
      </c>
      <c r="E16" s="17" t="s">
        <v>36</v>
      </c>
      <c r="F16" s="17" t="s">
        <v>36</v>
      </c>
      <c r="G16" s="17" t="s">
        <v>36</v>
      </c>
      <c r="H16" s="14" t="str">
        <f aca="false">IF(COUNTA(D16:G16)=0,"",IF(COUNTIF(D16:G16,"No")&gt;0,"Yes","No"))</f>
        <v>No</v>
      </c>
      <c r="I16" s="15"/>
      <c r="J16" s="15" t="s">
        <v>101</v>
      </c>
      <c r="K16" s="15"/>
    </row>
    <row r="17" customFormat="false" ht="23.85" hidden="false" customHeight="false" outlineLevel="0" collapsed="false">
      <c r="A17" s="14" t="n">
        <v>12</v>
      </c>
      <c r="B17" s="15" t="s">
        <v>102</v>
      </c>
      <c r="C17" s="16" t="n">
        <v>46089</v>
      </c>
      <c r="D17" s="17" t="s">
        <v>36</v>
      </c>
      <c r="E17" s="17" t="s">
        <v>36</v>
      </c>
      <c r="F17" s="17" t="s">
        <v>36</v>
      </c>
      <c r="G17" s="17" t="s">
        <v>36</v>
      </c>
      <c r="H17" s="14" t="str">
        <f aca="false">IF(COUNTA(D17:G17)=0,"",IF(COUNTIF(D17:G17,"No")&gt;0,"Yes","No"))</f>
        <v>No</v>
      </c>
      <c r="I17" s="15"/>
      <c r="J17" s="15" t="s">
        <v>103</v>
      </c>
      <c r="K17" s="15"/>
    </row>
    <row r="18" customFormat="false" ht="23.85" hidden="false" customHeight="false" outlineLevel="0" collapsed="false">
      <c r="A18" s="14" t="n">
        <v>13</v>
      </c>
      <c r="B18" s="15" t="s">
        <v>104</v>
      </c>
      <c r="C18" s="16" t="n">
        <v>46094</v>
      </c>
      <c r="D18" s="17" t="s">
        <v>36</v>
      </c>
      <c r="E18" s="17" t="s">
        <v>36</v>
      </c>
      <c r="F18" s="17" t="s">
        <v>36</v>
      </c>
      <c r="G18" s="17" t="s">
        <v>36</v>
      </c>
      <c r="H18" s="14" t="str">
        <f aca="false">IF(COUNTA(D18:G18)=0,"",IF(COUNTIF(D18:G18,"No")&gt;0,"Yes","No"))</f>
        <v>No</v>
      </c>
      <c r="I18" s="15"/>
      <c r="J18" s="15" t="s">
        <v>105</v>
      </c>
      <c r="K18" s="15"/>
    </row>
    <row r="19" customFormat="false" ht="35.05" hidden="false" customHeight="false" outlineLevel="0" collapsed="false">
      <c r="A19" s="14" t="n">
        <v>14</v>
      </c>
      <c r="B19" s="15" t="s">
        <v>106</v>
      </c>
      <c r="C19" s="16" t="n">
        <v>46099</v>
      </c>
      <c r="D19" s="17" t="s">
        <v>36</v>
      </c>
      <c r="E19" s="17" t="s">
        <v>36</v>
      </c>
      <c r="F19" s="17" t="s">
        <v>36</v>
      </c>
      <c r="G19" s="17" t="s">
        <v>107</v>
      </c>
      <c r="H19" s="14" t="str">
        <f aca="false">IF(COUNTA(D19:G19)=0,"",IF(COUNTIF(D19:G19,"No")&gt;0,"Yes","No"))</f>
        <v>Yes</v>
      </c>
      <c r="I19" s="15" t="s">
        <v>108</v>
      </c>
      <c r="J19" s="15" t="s">
        <v>109</v>
      </c>
      <c r="K19" s="15" t="s">
        <v>110</v>
      </c>
    </row>
    <row r="20" customFormat="false" ht="23.85" hidden="false" customHeight="false" outlineLevel="0" collapsed="false">
      <c r="A20" s="14" t="n">
        <v>15</v>
      </c>
      <c r="B20" s="15" t="s">
        <v>111</v>
      </c>
      <c r="C20" s="16" t="n">
        <v>46104</v>
      </c>
      <c r="D20" s="17" t="s">
        <v>36</v>
      </c>
      <c r="E20" s="17" t="s">
        <v>36</v>
      </c>
      <c r="F20" s="17" t="s">
        <v>36</v>
      </c>
      <c r="G20" s="17" t="s">
        <v>36</v>
      </c>
      <c r="H20" s="14" t="str">
        <f aca="false">IF(COUNTA(D20:G20)=0,"",IF(COUNTIF(D20:G20,"No")&gt;0,"Yes","No"))</f>
        <v>No</v>
      </c>
      <c r="I20" s="15"/>
      <c r="J20" s="15" t="s">
        <v>112</v>
      </c>
      <c r="K20" s="15"/>
    </row>
    <row r="21" customFormat="false" ht="23.85" hidden="false" customHeight="false" outlineLevel="0" collapsed="false">
      <c r="A21" s="14" t="n">
        <v>16</v>
      </c>
      <c r="B21" s="15" t="s">
        <v>113</v>
      </c>
      <c r="C21" s="16" t="n">
        <v>46115</v>
      </c>
      <c r="D21" s="17" t="s">
        <v>36</v>
      </c>
      <c r="E21" s="17" t="s">
        <v>36</v>
      </c>
      <c r="F21" s="17" t="s">
        <v>36</v>
      </c>
      <c r="G21" s="17" t="s">
        <v>36</v>
      </c>
      <c r="H21" s="14" t="str">
        <f aca="false">IF(COUNTA(D21:G21)=0,"",IF(COUNTIF(D21:G21,"No")&gt;0,"Yes","No"))</f>
        <v>No</v>
      </c>
      <c r="I21" s="15"/>
      <c r="J21" s="15" t="s">
        <v>114</v>
      </c>
      <c r="K21" s="15"/>
    </row>
    <row r="22" customFormat="false" ht="23.85" hidden="false" customHeight="false" outlineLevel="0" collapsed="false">
      <c r="A22" s="14" t="n">
        <v>17</v>
      </c>
      <c r="B22" s="15" t="s">
        <v>115</v>
      </c>
      <c r="C22" s="16" t="n">
        <v>46120</v>
      </c>
      <c r="D22" s="17" t="s">
        <v>36</v>
      </c>
      <c r="E22" s="17" t="s">
        <v>36</v>
      </c>
      <c r="F22" s="17" t="s">
        <v>36</v>
      </c>
      <c r="G22" s="17" t="s">
        <v>36</v>
      </c>
      <c r="H22" s="14" t="str">
        <f aca="false">IF(COUNTA(D22:G22)=0,"",IF(COUNTIF(D22:G22,"No")&gt;0,"Yes","No"))</f>
        <v>No</v>
      </c>
      <c r="I22" s="15"/>
      <c r="J22" s="15" t="s">
        <v>116</v>
      </c>
      <c r="K22" s="15"/>
    </row>
    <row r="23" customFormat="false" ht="23.85" hidden="false" customHeight="false" outlineLevel="0" collapsed="false">
      <c r="A23" s="14" t="n">
        <v>18</v>
      </c>
      <c r="B23" s="15" t="s">
        <v>117</v>
      </c>
      <c r="C23" s="16" t="n">
        <v>46125</v>
      </c>
      <c r="D23" s="17" t="s">
        <v>36</v>
      </c>
      <c r="E23" s="17" t="s">
        <v>36</v>
      </c>
      <c r="F23" s="17" t="s">
        <v>36</v>
      </c>
      <c r="G23" s="17" t="s">
        <v>36</v>
      </c>
      <c r="H23" s="14" t="str">
        <f aca="false">IF(COUNTA(D23:G23)=0,"",IF(COUNTIF(D23:G23,"No")&gt;0,"Yes","No"))</f>
        <v>No</v>
      </c>
      <c r="I23" s="15"/>
      <c r="J23" s="15" t="s">
        <v>118</v>
      </c>
      <c r="K23" s="15"/>
    </row>
    <row r="24" customFormat="false" ht="23.85" hidden="false" customHeight="false" outlineLevel="0" collapsed="false">
      <c r="A24" s="14" t="n">
        <v>19</v>
      </c>
      <c r="B24" s="15" t="s">
        <v>119</v>
      </c>
      <c r="C24" s="16" t="n">
        <v>46130</v>
      </c>
      <c r="D24" s="17" t="s">
        <v>36</v>
      </c>
      <c r="E24" s="17" t="s">
        <v>36</v>
      </c>
      <c r="F24" s="17" t="s">
        <v>36</v>
      </c>
      <c r="G24" s="17" t="s">
        <v>36</v>
      </c>
      <c r="H24" s="14" t="str">
        <f aca="false">IF(COUNTA(D24:G24)=0,"",IF(COUNTIF(D24:G24,"No")&gt;0,"Yes","No"))</f>
        <v>No</v>
      </c>
      <c r="I24" s="15"/>
      <c r="J24" s="15" t="s">
        <v>120</v>
      </c>
      <c r="K24" s="15"/>
    </row>
    <row r="25" customFormat="false" ht="23.85" hidden="false" customHeight="false" outlineLevel="0" collapsed="false">
      <c r="A25" s="14" t="n">
        <v>20</v>
      </c>
      <c r="B25" s="15" t="s">
        <v>121</v>
      </c>
      <c r="C25" s="16" t="n">
        <v>46135</v>
      </c>
      <c r="D25" s="17" t="s">
        <v>36</v>
      </c>
      <c r="E25" s="17" t="s">
        <v>36</v>
      </c>
      <c r="F25" s="17" t="s">
        <v>36</v>
      </c>
      <c r="G25" s="17" t="s">
        <v>36</v>
      </c>
      <c r="H25" s="14" t="str">
        <f aca="false">IF(COUNTA(D25:G25)=0,"",IF(COUNTIF(D25:G25,"No")&gt;0,"Yes","No"))</f>
        <v>No</v>
      </c>
      <c r="I25" s="15"/>
      <c r="J25" s="15" t="s">
        <v>122</v>
      </c>
      <c r="K25" s="15"/>
    </row>
    <row r="26" customFormat="false" ht="23.85" hidden="false" customHeight="false" outlineLevel="0" collapsed="false">
      <c r="A26" s="14" t="n">
        <v>21</v>
      </c>
      <c r="B26" s="15" t="s">
        <v>123</v>
      </c>
      <c r="C26" s="16" t="n">
        <v>46145</v>
      </c>
      <c r="D26" s="17" t="s">
        <v>36</v>
      </c>
      <c r="E26" s="17" t="s">
        <v>36</v>
      </c>
      <c r="F26" s="17" t="s">
        <v>36</v>
      </c>
      <c r="G26" s="17" t="s">
        <v>36</v>
      </c>
      <c r="H26" s="14" t="str">
        <f aca="false">IF(COUNTA(D26:G26)=0,"",IF(COUNTIF(D26:G26,"No")&gt;0,"Yes","No"))</f>
        <v>No</v>
      </c>
      <c r="I26" s="15"/>
      <c r="J26" s="15" t="s">
        <v>124</v>
      </c>
      <c r="K26" s="15"/>
    </row>
    <row r="27" customFormat="false" ht="23.85" hidden="false" customHeight="false" outlineLevel="0" collapsed="false">
      <c r="A27" s="14" t="n">
        <v>22</v>
      </c>
      <c r="B27" s="15" t="s">
        <v>125</v>
      </c>
      <c r="C27" s="16" t="n">
        <v>46150</v>
      </c>
      <c r="D27" s="17" t="s">
        <v>36</v>
      </c>
      <c r="E27" s="17" t="s">
        <v>36</v>
      </c>
      <c r="F27" s="17" t="s">
        <v>36</v>
      </c>
      <c r="G27" s="17" t="s">
        <v>36</v>
      </c>
      <c r="H27" s="14" t="str">
        <f aca="false">IF(COUNTA(D27:G27)=0,"",IF(COUNTIF(D27:G27,"No")&gt;0,"Yes","No"))</f>
        <v>No</v>
      </c>
      <c r="I27" s="15"/>
      <c r="J27" s="15" t="s">
        <v>126</v>
      </c>
      <c r="K27" s="15"/>
    </row>
    <row r="28" customFormat="false" ht="23.85" hidden="false" customHeight="false" outlineLevel="0" collapsed="false">
      <c r="A28" s="14" t="n">
        <v>23</v>
      </c>
      <c r="B28" s="15" t="s">
        <v>127</v>
      </c>
      <c r="C28" s="16" t="n">
        <v>46155</v>
      </c>
      <c r="D28" s="17" t="s">
        <v>36</v>
      </c>
      <c r="E28" s="17" t="s">
        <v>36</v>
      </c>
      <c r="F28" s="17" t="s">
        <v>36</v>
      </c>
      <c r="G28" s="17" t="s">
        <v>36</v>
      </c>
      <c r="H28" s="14" t="str">
        <f aca="false">IF(COUNTA(D28:G28)=0,"",IF(COUNTIF(D28:G28,"No")&gt;0,"Yes","No"))</f>
        <v>No</v>
      </c>
      <c r="I28" s="15"/>
      <c r="J28" s="15" t="s">
        <v>128</v>
      </c>
      <c r="K28" s="15"/>
    </row>
    <row r="29" customFormat="false" ht="23.85" hidden="false" customHeight="false" outlineLevel="0" collapsed="false">
      <c r="A29" s="14" t="n">
        <v>24</v>
      </c>
      <c r="B29" s="15" t="s">
        <v>129</v>
      </c>
      <c r="C29" s="16" t="n">
        <v>46160</v>
      </c>
      <c r="D29" s="17" t="s">
        <v>36</v>
      </c>
      <c r="E29" s="17" t="s">
        <v>36</v>
      </c>
      <c r="F29" s="17" t="s">
        <v>36</v>
      </c>
      <c r="G29" s="17" t="s">
        <v>36</v>
      </c>
      <c r="H29" s="14" t="str">
        <f aca="false">IF(COUNTA(D29:G29)=0,"",IF(COUNTIF(D29:G29,"No")&gt;0,"Yes","No"))</f>
        <v>No</v>
      </c>
      <c r="I29" s="15"/>
      <c r="J29" s="15" t="s">
        <v>130</v>
      </c>
      <c r="K29" s="15"/>
    </row>
    <row r="30" customFormat="false" ht="23.85" hidden="false" customHeight="false" outlineLevel="0" collapsed="false">
      <c r="A30" s="14" t="n">
        <v>25</v>
      </c>
      <c r="B30" s="15" t="s">
        <v>131</v>
      </c>
      <c r="C30" s="16" t="n">
        <v>46165</v>
      </c>
      <c r="D30" s="17" t="s">
        <v>36</v>
      </c>
      <c r="E30" s="17" t="s">
        <v>36</v>
      </c>
      <c r="F30" s="17" t="s">
        <v>36</v>
      </c>
      <c r="G30" s="17" t="s">
        <v>36</v>
      </c>
      <c r="H30" s="14" t="str">
        <f aca="false">IF(COUNTA(D30:G30)=0,"",IF(COUNTIF(D30:G30,"No")&gt;0,"Yes","No"))</f>
        <v>No</v>
      </c>
      <c r="I30" s="15"/>
      <c r="J30" s="15" t="s">
        <v>132</v>
      </c>
      <c r="K30" s="15"/>
    </row>
    <row r="31" customFormat="false" ht="15" hidden="false" customHeight="false" outlineLevel="0" collapsed="false">
      <c r="A31" s="14" t="n">
        <v>26</v>
      </c>
      <c r="B31" s="18"/>
      <c r="C31" s="19"/>
      <c r="D31" s="20"/>
      <c r="E31" s="20"/>
      <c r="F31" s="20"/>
      <c r="G31" s="20"/>
      <c r="H31" s="14" t="str">
        <f aca="false">IF(COUNTA(D31:G31)=0,"",IF(COUNTIF(D31:G31,"No")&gt;0,"Yes","No"))</f>
        <v/>
      </c>
      <c r="I31" s="18"/>
      <c r="J31" s="18"/>
      <c r="K31" s="18"/>
    </row>
    <row r="32" customFormat="false" ht="15" hidden="false" customHeight="false" outlineLevel="0" collapsed="false">
      <c r="A32" s="14" t="n">
        <v>27</v>
      </c>
      <c r="B32" s="18"/>
      <c r="C32" s="19"/>
      <c r="D32" s="20"/>
      <c r="E32" s="20"/>
      <c r="F32" s="20"/>
      <c r="G32" s="20"/>
      <c r="H32" s="14" t="str">
        <f aca="false">IF(COUNTA(D32:G32)=0,"",IF(COUNTIF(D32:G32,"No")&gt;0,"Yes","No"))</f>
        <v/>
      </c>
      <c r="I32" s="18"/>
      <c r="J32" s="18"/>
      <c r="K32" s="18"/>
    </row>
    <row r="33" customFormat="false" ht="15" hidden="false" customHeight="false" outlineLevel="0" collapsed="false">
      <c r="A33" s="14" t="n">
        <v>28</v>
      </c>
      <c r="B33" s="18"/>
      <c r="C33" s="19"/>
      <c r="D33" s="20"/>
      <c r="E33" s="20"/>
      <c r="F33" s="20"/>
      <c r="G33" s="20"/>
      <c r="H33" s="14" t="str">
        <f aca="false">IF(COUNTA(D33:G33)=0,"",IF(COUNTIF(D33:G33,"No")&gt;0,"Yes","No"))</f>
        <v/>
      </c>
      <c r="I33" s="18"/>
      <c r="J33" s="18"/>
      <c r="K33" s="18"/>
    </row>
    <row r="34" customFormat="false" ht="15" hidden="false" customHeight="false" outlineLevel="0" collapsed="false">
      <c r="A34" s="14" t="n">
        <v>29</v>
      </c>
      <c r="B34" s="18"/>
      <c r="C34" s="19"/>
      <c r="D34" s="20"/>
      <c r="E34" s="20"/>
      <c r="F34" s="20"/>
      <c r="G34" s="20"/>
      <c r="H34" s="14" t="str">
        <f aca="false">IF(COUNTA(D34:G34)=0,"",IF(COUNTIF(D34:G34,"No")&gt;0,"Yes","No"))</f>
        <v/>
      </c>
      <c r="I34" s="18"/>
      <c r="J34" s="18"/>
      <c r="K34" s="18"/>
    </row>
    <row r="35" customFormat="false" ht="15" hidden="false" customHeight="false" outlineLevel="0" collapsed="false">
      <c r="A35" s="14" t="n">
        <v>30</v>
      </c>
      <c r="B35" s="18"/>
      <c r="C35" s="19"/>
      <c r="D35" s="20"/>
      <c r="E35" s="20"/>
      <c r="F35" s="20"/>
      <c r="G35" s="20"/>
      <c r="H35" s="14" t="str">
        <f aca="false">IF(COUNTA(D35:G35)=0,"",IF(COUNTIF(D35:G35,"No")&gt;0,"Yes","No"))</f>
        <v/>
      </c>
      <c r="I35" s="18"/>
      <c r="J35" s="18"/>
      <c r="K35" s="18"/>
    </row>
    <row r="36" customFormat="false" ht="15" hidden="false" customHeight="false" outlineLevel="0" collapsed="false">
      <c r="A36" s="14" t="n">
        <v>31</v>
      </c>
      <c r="B36" s="18"/>
      <c r="C36" s="19"/>
      <c r="D36" s="20"/>
      <c r="E36" s="20"/>
      <c r="F36" s="20"/>
      <c r="G36" s="20"/>
      <c r="H36" s="14" t="str">
        <f aca="false">IF(COUNTA(D36:G36)=0,"",IF(COUNTIF(D36:G36,"No")&gt;0,"Yes","No"))</f>
        <v/>
      </c>
      <c r="I36" s="18"/>
      <c r="J36" s="18"/>
      <c r="K36" s="18"/>
    </row>
    <row r="37" customFormat="false" ht="15" hidden="false" customHeight="false" outlineLevel="0" collapsed="false">
      <c r="A37" s="14" t="n">
        <v>32</v>
      </c>
      <c r="B37" s="18"/>
      <c r="C37" s="19"/>
      <c r="D37" s="20"/>
      <c r="E37" s="20"/>
      <c r="F37" s="20"/>
      <c r="G37" s="20"/>
      <c r="H37" s="14" t="str">
        <f aca="false">IF(COUNTA(D37:G37)=0,"",IF(COUNTIF(D37:G37,"No")&gt;0,"Yes","No"))</f>
        <v/>
      </c>
      <c r="I37" s="18"/>
      <c r="J37" s="18"/>
      <c r="K37" s="18"/>
    </row>
    <row r="38" customFormat="false" ht="15" hidden="false" customHeight="false" outlineLevel="0" collapsed="false">
      <c r="A38" s="14" t="n">
        <v>33</v>
      </c>
      <c r="B38" s="18"/>
      <c r="C38" s="19"/>
      <c r="D38" s="20"/>
      <c r="E38" s="20"/>
      <c r="F38" s="20"/>
      <c r="G38" s="20"/>
      <c r="H38" s="14" t="str">
        <f aca="false">IF(COUNTA(D38:G38)=0,"",IF(COUNTIF(D38:G38,"No")&gt;0,"Yes","No"))</f>
        <v/>
      </c>
      <c r="I38" s="18"/>
      <c r="J38" s="18"/>
      <c r="K38" s="18"/>
    </row>
    <row r="39" customFormat="false" ht="15" hidden="false" customHeight="false" outlineLevel="0" collapsed="false">
      <c r="A39" s="14" t="n">
        <v>34</v>
      </c>
      <c r="B39" s="18"/>
      <c r="C39" s="19"/>
      <c r="D39" s="20"/>
      <c r="E39" s="20"/>
      <c r="F39" s="20"/>
      <c r="G39" s="20"/>
      <c r="H39" s="14" t="str">
        <f aca="false">IF(COUNTA(D39:G39)=0,"",IF(COUNTIF(D39:G39,"No")&gt;0,"Yes","No"))</f>
        <v/>
      </c>
      <c r="I39" s="18"/>
      <c r="J39" s="18"/>
      <c r="K39" s="18"/>
    </row>
    <row r="40" customFormat="false" ht="15" hidden="false" customHeight="false" outlineLevel="0" collapsed="false">
      <c r="A40" s="14" t="n">
        <v>35</v>
      </c>
      <c r="B40" s="18"/>
      <c r="C40" s="19"/>
      <c r="D40" s="20"/>
      <c r="E40" s="20"/>
      <c r="F40" s="20"/>
      <c r="G40" s="20"/>
      <c r="H40" s="14" t="str">
        <f aca="false">IF(COUNTA(D40:G40)=0,"",IF(COUNTIF(D40:G40,"No")&gt;0,"Yes","No"))</f>
        <v/>
      </c>
      <c r="I40" s="18"/>
      <c r="J40" s="18"/>
      <c r="K40" s="18"/>
    </row>
    <row r="41" customFormat="false" ht="15" hidden="false" customHeight="false" outlineLevel="0" collapsed="false">
      <c r="A41" s="14" t="n">
        <v>36</v>
      </c>
      <c r="B41" s="18"/>
      <c r="C41" s="19"/>
      <c r="D41" s="20"/>
      <c r="E41" s="20"/>
      <c r="F41" s="20"/>
      <c r="G41" s="20"/>
      <c r="H41" s="14" t="str">
        <f aca="false">IF(COUNTA(D41:G41)=0,"",IF(COUNTIF(D41:G41,"No")&gt;0,"Yes","No"))</f>
        <v/>
      </c>
      <c r="I41" s="18"/>
      <c r="J41" s="18"/>
      <c r="K41" s="18"/>
    </row>
    <row r="42" customFormat="false" ht="15" hidden="false" customHeight="false" outlineLevel="0" collapsed="false">
      <c r="A42" s="14" t="n">
        <v>37</v>
      </c>
      <c r="B42" s="18"/>
      <c r="C42" s="19"/>
      <c r="D42" s="20"/>
      <c r="E42" s="20"/>
      <c r="F42" s="20"/>
      <c r="G42" s="20"/>
      <c r="H42" s="14" t="str">
        <f aca="false">IF(COUNTA(D42:G42)=0,"",IF(COUNTIF(D42:G42,"No")&gt;0,"Yes","No"))</f>
        <v/>
      </c>
      <c r="I42" s="18"/>
      <c r="J42" s="18"/>
      <c r="K42" s="18"/>
    </row>
    <row r="43" customFormat="false" ht="15" hidden="false" customHeight="false" outlineLevel="0" collapsed="false">
      <c r="A43" s="14" t="n">
        <v>38</v>
      </c>
      <c r="B43" s="18"/>
      <c r="C43" s="19"/>
      <c r="D43" s="20"/>
      <c r="E43" s="20"/>
      <c r="F43" s="20"/>
      <c r="G43" s="20"/>
      <c r="H43" s="14" t="str">
        <f aca="false">IF(COUNTA(D43:G43)=0,"",IF(COUNTIF(D43:G43,"No")&gt;0,"Yes","No"))</f>
        <v/>
      </c>
      <c r="I43" s="18"/>
      <c r="J43" s="18"/>
      <c r="K43" s="18"/>
    </row>
    <row r="44" customFormat="false" ht="15" hidden="false" customHeight="false" outlineLevel="0" collapsed="false">
      <c r="A44" s="14" t="n">
        <v>39</v>
      </c>
      <c r="B44" s="18"/>
      <c r="C44" s="19"/>
      <c r="D44" s="20"/>
      <c r="E44" s="20"/>
      <c r="F44" s="20"/>
      <c r="G44" s="20"/>
      <c r="H44" s="14" t="str">
        <f aca="false">IF(COUNTA(D44:G44)=0,"",IF(COUNTIF(D44:G44,"No")&gt;0,"Yes","No"))</f>
        <v/>
      </c>
      <c r="I44" s="18"/>
      <c r="J44" s="18"/>
      <c r="K44" s="18"/>
    </row>
    <row r="45" customFormat="false" ht="15" hidden="false" customHeight="false" outlineLevel="0" collapsed="false">
      <c r="A45" s="14" t="n">
        <v>40</v>
      </c>
      <c r="B45" s="18"/>
      <c r="C45" s="19"/>
      <c r="D45" s="20"/>
      <c r="E45" s="20"/>
      <c r="F45" s="20"/>
      <c r="G45" s="20"/>
      <c r="H45" s="14" t="str">
        <f aca="false">IF(COUNTA(D45:G45)=0,"",IF(COUNTIF(D45:G45,"No")&gt;0,"Yes","No"))</f>
        <v/>
      </c>
      <c r="I45" s="18"/>
      <c r="J45" s="18"/>
      <c r="K45" s="18"/>
    </row>
    <row r="46" customFormat="false" ht="15" hidden="false" customHeight="false" outlineLevel="0" collapsed="false">
      <c r="A46" s="14" t="n">
        <v>41</v>
      </c>
      <c r="B46" s="18"/>
      <c r="C46" s="19"/>
      <c r="D46" s="20"/>
      <c r="E46" s="20"/>
      <c r="F46" s="20"/>
      <c r="G46" s="20"/>
      <c r="H46" s="14" t="str">
        <f aca="false">IF(COUNTA(D46:G46)=0,"",IF(COUNTIF(D46:G46,"No")&gt;0,"Yes","No"))</f>
        <v/>
      </c>
      <c r="I46" s="18"/>
      <c r="J46" s="18"/>
      <c r="K46" s="18"/>
    </row>
    <row r="47" customFormat="false" ht="15" hidden="false" customHeight="false" outlineLevel="0" collapsed="false">
      <c r="A47" s="14" t="n">
        <v>42</v>
      </c>
      <c r="B47" s="18"/>
      <c r="C47" s="19"/>
      <c r="D47" s="20"/>
      <c r="E47" s="20"/>
      <c r="F47" s="20"/>
      <c r="G47" s="20"/>
      <c r="H47" s="14" t="str">
        <f aca="false">IF(COUNTA(D47:G47)=0,"",IF(COUNTIF(D47:G47,"No")&gt;0,"Yes","No"))</f>
        <v/>
      </c>
      <c r="I47" s="18"/>
      <c r="J47" s="18"/>
      <c r="K47" s="18"/>
    </row>
    <row r="48" customFormat="false" ht="15" hidden="false" customHeight="false" outlineLevel="0" collapsed="false">
      <c r="A48" s="14" t="n">
        <v>43</v>
      </c>
      <c r="B48" s="18"/>
      <c r="C48" s="19"/>
      <c r="D48" s="20"/>
      <c r="E48" s="20"/>
      <c r="F48" s="20"/>
      <c r="G48" s="20"/>
      <c r="H48" s="14" t="str">
        <f aca="false">IF(COUNTA(D48:G48)=0,"",IF(COUNTIF(D48:G48,"No")&gt;0,"Yes","No"))</f>
        <v/>
      </c>
      <c r="I48" s="18"/>
      <c r="J48" s="18"/>
      <c r="K48" s="18"/>
    </row>
    <row r="49" customFormat="false" ht="15" hidden="false" customHeight="false" outlineLevel="0" collapsed="false">
      <c r="A49" s="14" t="n">
        <v>44</v>
      </c>
      <c r="B49" s="18"/>
      <c r="C49" s="19"/>
      <c r="D49" s="20"/>
      <c r="E49" s="20"/>
      <c r="F49" s="20"/>
      <c r="G49" s="20"/>
      <c r="H49" s="14" t="str">
        <f aca="false">IF(COUNTA(D49:G49)=0,"",IF(COUNTIF(D49:G49,"No")&gt;0,"Yes","No"))</f>
        <v/>
      </c>
      <c r="I49" s="18"/>
      <c r="J49" s="18"/>
      <c r="K49" s="18"/>
    </row>
    <row r="50" customFormat="false" ht="15" hidden="false" customHeight="false" outlineLevel="0" collapsed="false">
      <c r="A50" s="14" t="n">
        <v>45</v>
      </c>
      <c r="B50" s="18"/>
      <c r="C50" s="19"/>
      <c r="D50" s="20"/>
      <c r="E50" s="20"/>
      <c r="F50" s="20"/>
      <c r="G50" s="20"/>
      <c r="H50" s="14" t="str">
        <f aca="false">IF(COUNTA(D50:G50)=0,"",IF(COUNTIF(D50:G50,"No")&gt;0,"Yes","No"))</f>
        <v/>
      </c>
      <c r="I50" s="18"/>
      <c r="J50" s="18"/>
      <c r="K50" s="18"/>
    </row>
    <row r="51" customFormat="false" ht="15" hidden="false" customHeight="false" outlineLevel="0" collapsed="false">
      <c r="A51" s="14" t="n">
        <v>46</v>
      </c>
      <c r="B51" s="18"/>
      <c r="C51" s="19"/>
      <c r="D51" s="20"/>
      <c r="E51" s="20"/>
      <c r="F51" s="20"/>
      <c r="G51" s="20"/>
      <c r="H51" s="14" t="str">
        <f aca="false">IF(COUNTA(D51:G51)=0,"",IF(COUNTIF(D51:G51,"No")&gt;0,"Yes","No"))</f>
        <v/>
      </c>
      <c r="I51" s="18"/>
      <c r="J51" s="18"/>
      <c r="K51" s="18"/>
    </row>
    <row r="52" customFormat="false" ht="15" hidden="false" customHeight="false" outlineLevel="0" collapsed="false">
      <c r="A52" s="14" t="n">
        <v>47</v>
      </c>
      <c r="B52" s="18"/>
      <c r="C52" s="19"/>
      <c r="D52" s="20"/>
      <c r="E52" s="20"/>
      <c r="F52" s="20"/>
      <c r="G52" s="20"/>
      <c r="H52" s="14" t="str">
        <f aca="false">IF(COUNTA(D52:G52)=0,"",IF(COUNTIF(D52:G52,"No")&gt;0,"Yes","No"))</f>
        <v/>
      </c>
      <c r="I52" s="18"/>
      <c r="J52" s="18"/>
      <c r="K52" s="18"/>
    </row>
    <row r="53" customFormat="false" ht="15" hidden="false" customHeight="false" outlineLevel="0" collapsed="false">
      <c r="A53" s="14" t="n">
        <v>48</v>
      </c>
      <c r="B53" s="18"/>
      <c r="C53" s="19"/>
      <c r="D53" s="20"/>
      <c r="E53" s="20"/>
      <c r="F53" s="20"/>
      <c r="G53" s="20"/>
      <c r="H53" s="14" t="str">
        <f aca="false">IF(COUNTA(D53:G53)=0,"",IF(COUNTIF(D53:G53,"No")&gt;0,"Yes","No"))</f>
        <v/>
      </c>
      <c r="I53" s="18"/>
      <c r="J53" s="18"/>
      <c r="K53" s="18"/>
    </row>
    <row r="54" customFormat="false" ht="15" hidden="false" customHeight="false" outlineLevel="0" collapsed="false">
      <c r="A54" s="14" t="n">
        <v>49</v>
      </c>
      <c r="B54" s="18"/>
      <c r="C54" s="19"/>
      <c r="D54" s="20"/>
      <c r="E54" s="20"/>
      <c r="F54" s="20"/>
      <c r="G54" s="20"/>
      <c r="H54" s="14" t="str">
        <f aca="false">IF(COUNTA(D54:G54)=0,"",IF(COUNTIF(D54:G54,"No")&gt;0,"Yes","No"))</f>
        <v/>
      </c>
      <c r="I54" s="18"/>
      <c r="J54" s="18"/>
      <c r="K54" s="18"/>
    </row>
    <row r="55" customFormat="false" ht="15" hidden="false" customHeight="false" outlineLevel="0" collapsed="false">
      <c r="A55" s="14" t="n">
        <v>50</v>
      </c>
      <c r="B55" s="18"/>
      <c r="C55" s="19"/>
      <c r="D55" s="20"/>
      <c r="E55" s="20"/>
      <c r="F55" s="20"/>
      <c r="G55" s="20"/>
      <c r="H55" s="14" t="str">
        <f aca="false">IF(COUNTA(D55:G55)=0,"",IF(COUNTIF(D55:G55,"No")&gt;0,"Yes","No"))</f>
        <v/>
      </c>
      <c r="I55" s="18"/>
      <c r="J55" s="18"/>
      <c r="K55" s="18"/>
    </row>
    <row r="56" customFormat="false" ht="15" hidden="false" customHeight="false" outlineLevel="0" collapsed="false">
      <c r="A56" s="14" t="n">
        <v>51</v>
      </c>
      <c r="B56" s="18"/>
      <c r="C56" s="19"/>
      <c r="D56" s="20"/>
      <c r="E56" s="20"/>
      <c r="F56" s="20"/>
      <c r="G56" s="20"/>
      <c r="H56" s="14" t="str">
        <f aca="false">IF(COUNTA(D56:G56)=0,"",IF(COUNTIF(D56:G56,"No")&gt;0,"Yes","No"))</f>
        <v/>
      </c>
      <c r="I56" s="18"/>
      <c r="J56" s="18"/>
      <c r="K56" s="18"/>
    </row>
    <row r="57" customFormat="false" ht="15" hidden="false" customHeight="false" outlineLevel="0" collapsed="false">
      <c r="A57" s="14" t="n">
        <v>52</v>
      </c>
      <c r="B57" s="18"/>
      <c r="C57" s="19"/>
      <c r="D57" s="20"/>
      <c r="E57" s="20"/>
      <c r="F57" s="20"/>
      <c r="G57" s="20"/>
      <c r="H57" s="14" t="str">
        <f aca="false">IF(COUNTA(D57:G57)=0,"",IF(COUNTIF(D57:G57,"No")&gt;0,"Yes","No"))</f>
        <v/>
      </c>
      <c r="I57" s="18"/>
      <c r="J57" s="18"/>
      <c r="K57" s="18"/>
    </row>
    <row r="58" customFormat="false" ht="15" hidden="false" customHeight="false" outlineLevel="0" collapsed="false">
      <c r="A58" s="14" t="n">
        <v>53</v>
      </c>
      <c r="B58" s="18"/>
      <c r="C58" s="19"/>
      <c r="D58" s="20"/>
      <c r="E58" s="20"/>
      <c r="F58" s="20"/>
      <c r="G58" s="20"/>
      <c r="H58" s="14" t="str">
        <f aca="false">IF(COUNTA(D58:G58)=0,"",IF(COUNTIF(D58:G58,"No")&gt;0,"Yes","No"))</f>
        <v/>
      </c>
      <c r="I58" s="18"/>
      <c r="J58" s="18"/>
      <c r="K58" s="18"/>
    </row>
    <row r="59" customFormat="false" ht="15" hidden="false" customHeight="false" outlineLevel="0" collapsed="false">
      <c r="A59" s="14" t="n">
        <v>54</v>
      </c>
      <c r="B59" s="18"/>
      <c r="C59" s="19"/>
      <c r="D59" s="20"/>
      <c r="E59" s="20"/>
      <c r="F59" s="20"/>
      <c r="G59" s="20"/>
      <c r="H59" s="14" t="str">
        <f aca="false">IF(COUNTA(D59:G59)=0,"",IF(COUNTIF(D59:G59,"No")&gt;0,"Yes","No"))</f>
        <v/>
      </c>
      <c r="I59" s="18"/>
      <c r="J59" s="18"/>
      <c r="K59" s="18"/>
    </row>
    <row r="60" customFormat="false" ht="15" hidden="false" customHeight="false" outlineLevel="0" collapsed="false">
      <c r="A60" s="14" t="n">
        <v>55</v>
      </c>
      <c r="B60" s="18"/>
      <c r="C60" s="19"/>
      <c r="D60" s="20"/>
      <c r="E60" s="20"/>
      <c r="F60" s="20"/>
      <c r="G60" s="20"/>
      <c r="H60" s="14" t="str">
        <f aca="false">IF(COUNTA(D60:G60)=0,"",IF(COUNTIF(D60:G60,"No")&gt;0,"Yes","No"))</f>
        <v/>
      </c>
      <c r="I60" s="18"/>
      <c r="J60" s="18"/>
      <c r="K60" s="18"/>
    </row>
    <row r="61" customFormat="false" ht="15" hidden="false" customHeight="false" outlineLevel="0" collapsed="false">
      <c r="A61" s="14" t="n">
        <v>56</v>
      </c>
      <c r="B61" s="18"/>
      <c r="C61" s="19"/>
      <c r="D61" s="20"/>
      <c r="E61" s="20"/>
      <c r="F61" s="20"/>
      <c r="G61" s="20"/>
      <c r="H61" s="14" t="str">
        <f aca="false">IF(COUNTA(D61:G61)=0,"",IF(COUNTIF(D61:G61,"No")&gt;0,"Yes","No"))</f>
        <v/>
      </c>
      <c r="I61" s="18"/>
      <c r="J61" s="18"/>
      <c r="K61" s="18"/>
    </row>
    <row r="62" customFormat="false" ht="15" hidden="false" customHeight="false" outlineLevel="0" collapsed="false">
      <c r="A62" s="14" t="n">
        <v>57</v>
      </c>
      <c r="B62" s="18"/>
      <c r="C62" s="19"/>
      <c r="D62" s="20"/>
      <c r="E62" s="20"/>
      <c r="F62" s="20"/>
      <c r="G62" s="20"/>
      <c r="H62" s="14" t="str">
        <f aca="false">IF(COUNTA(D62:G62)=0,"",IF(COUNTIF(D62:G62,"No")&gt;0,"Yes","No"))</f>
        <v/>
      </c>
      <c r="I62" s="18"/>
      <c r="J62" s="18"/>
      <c r="K62" s="18"/>
    </row>
    <row r="63" customFormat="false" ht="15" hidden="false" customHeight="false" outlineLevel="0" collapsed="false">
      <c r="A63" s="14" t="n">
        <v>58</v>
      </c>
      <c r="B63" s="18"/>
      <c r="C63" s="19"/>
      <c r="D63" s="20"/>
      <c r="E63" s="20"/>
      <c r="F63" s="20"/>
      <c r="G63" s="20"/>
      <c r="H63" s="14" t="str">
        <f aca="false">IF(COUNTA(D63:G63)=0,"",IF(COUNTIF(D63:G63,"No")&gt;0,"Yes","No"))</f>
        <v/>
      </c>
      <c r="I63" s="18"/>
      <c r="J63" s="18"/>
      <c r="K63" s="18"/>
    </row>
    <row r="64" customFormat="false" ht="15" hidden="false" customHeight="false" outlineLevel="0" collapsed="false">
      <c r="A64" s="14" t="n">
        <v>59</v>
      </c>
      <c r="B64" s="18"/>
      <c r="C64" s="19"/>
      <c r="D64" s="20"/>
      <c r="E64" s="20"/>
      <c r="F64" s="20"/>
      <c r="G64" s="20"/>
      <c r="H64" s="14" t="str">
        <f aca="false">IF(COUNTA(D64:G64)=0,"",IF(COUNTIF(D64:G64,"No")&gt;0,"Yes","No"))</f>
        <v/>
      </c>
      <c r="I64" s="18"/>
      <c r="J64" s="18"/>
      <c r="K64" s="18"/>
    </row>
    <row r="65" customFormat="false" ht="15" hidden="false" customHeight="false" outlineLevel="0" collapsed="false">
      <c r="A65" s="14" t="n">
        <v>60</v>
      </c>
      <c r="B65" s="18"/>
      <c r="C65" s="19"/>
      <c r="D65" s="20"/>
      <c r="E65" s="20"/>
      <c r="F65" s="20"/>
      <c r="G65" s="20"/>
      <c r="H65" s="14" t="str">
        <f aca="false">IF(COUNTA(D65:G65)=0,"",IF(COUNTIF(D65:G65,"No")&gt;0,"Yes","No"))</f>
        <v/>
      </c>
      <c r="I65" s="18"/>
      <c r="J65" s="18"/>
      <c r="K65" s="18"/>
    </row>
  </sheetData>
  <autoFilter ref="A4:K65"/>
  <conditionalFormatting sqref="D6:G65">
    <cfRule type="expression" priority="2" aboveAverage="0" equalAverage="0" bottom="0" percent="0" rank="0" text="" dxfId="8">
      <formula>D6="No"</formula>
    </cfRule>
  </conditionalFormatting>
  <conditionalFormatting sqref="H6:H65">
    <cfRule type="expression" priority="3" aboveAverage="0" equalAverage="0" bottom="0" percent="0" rank="0" text="" dxfId="8">
      <formula>H6="Yes"</formula>
    </cfRule>
  </conditionalFormatting>
  <dataValidations count="1">
    <dataValidation allowBlank="true" error="Please choose a value from the drop-down list." errorStyle="stop" operator="between" showDropDown="false" showErrorMessage="true" showInputMessage="false" sqref="D6:G65" type="list">
      <formula1>Lists!$F$5:$F$7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70"/>
  </cols>
  <sheetData>
    <row r="1" customFormat="false" ht="25.5" hidden="false" customHeight="true" outlineLevel="0" collapsed="false">
      <c r="A1" s="1" t="s">
        <v>133</v>
      </c>
    </row>
    <row r="2" customFormat="false" ht="15" hidden="false" customHeight="false" outlineLevel="0" collapsed="false">
      <c r="A2" s="2" t="s">
        <v>134</v>
      </c>
    </row>
    <row r="4" customFormat="false" ht="15" hidden="false" customHeight="false" outlineLevel="0" collapsed="false">
      <c r="A4" s="5" t="s">
        <v>135</v>
      </c>
    </row>
    <row r="5" customFormat="false" ht="15" hidden="false" customHeight="false" outlineLevel="0" collapsed="false">
      <c r="A5" s="6" t="s">
        <v>136</v>
      </c>
      <c r="B5" s="21" t="n">
        <f aca="false">COUNTIF('Sample results'!H6:H65,"Yes")+COUNTIF('Sample results'!H6:H65,"No")</f>
        <v>25</v>
      </c>
    </row>
    <row r="6" customFormat="false" ht="15" hidden="false" customHeight="false" outlineLevel="0" collapsed="false">
      <c r="A6" s="6" t="s">
        <v>56</v>
      </c>
      <c r="B6" s="21" t="n">
        <f aca="false">'Test plan'!B27</f>
        <v>25</v>
      </c>
    </row>
    <row r="7" customFormat="false" ht="15" hidden="false" customHeight="false" outlineLevel="0" collapsed="false">
      <c r="A7" s="6" t="s">
        <v>137</v>
      </c>
      <c r="B7" s="21" t="n">
        <f aca="false">COUNTIF('Sample results'!H6:H65,"Yes")</f>
        <v>1</v>
      </c>
    </row>
    <row r="8" customFormat="false" ht="15" hidden="false" customHeight="false" outlineLevel="0" collapsed="false">
      <c r="A8" s="6" t="s">
        <v>138</v>
      </c>
      <c r="B8" s="22" t="n">
        <f aca="false">IF(B5=0,"",B7/B5)</f>
        <v>0.04</v>
      </c>
    </row>
    <row r="9" customFormat="false" ht="15" hidden="false" customHeight="false" outlineLevel="0" collapsed="false">
      <c r="A9" s="6" t="s">
        <v>139</v>
      </c>
      <c r="B9" s="23" t="str">
        <f aca="false">COUNTIF('Sample results'!D6:D65,"No")&amp;" / "&amp;COUNTIF('Sample results'!E6:E65,"No")&amp;" / "&amp;COUNTIF('Sample results'!F6:F65,"No")&amp;" / "&amp;COUNTIF('Sample results'!G6:G65,"No")</f>
        <v>0 / 0 / 0 / 1</v>
      </c>
    </row>
    <row r="10" customFormat="false" ht="15" hidden="false" customHeight="false" outlineLevel="0" collapsed="false">
      <c r="A10" s="5" t="s">
        <v>140</v>
      </c>
    </row>
    <row r="11" customFormat="false" ht="15" hidden="false" customHeight="false" outlineLevel="0" collapsed="false">
      <c r="A11" s="6" t="s">
        <v>141</v>
      </c>
      <c r="B11" s="24" t="n">
        <v>0.95</v>
      </c>
    </row>
    <row r="12" customFormat="false" ht="15" hidden="false" customHeight="false" outlineLevel="0" collapsed="false">
      <c r="A12" s="6" t="s">
        <v>142</v>
      </c>
      <c r="B12" s="24" t="n">
        <v>0.1</v>
      </c>
    </row>
    <row r="13" customFormat="false" ht="15" hidden="false" customHeight="false" outlineLevel="0" collapsed="false">
      <c r="A13" s="6" t="s">
        <v>8</v>
      </c>
      <c r="B13" s="22" t="n">
        <f aca="false">IF(B5=0,"",IF(B7&gt;=B5,1,BETAINV(B11,B7+1,B5-B7)))</f>
        <v>0.176120710604518</v>
      </c>
    </row>
    <row r="14" customFormat="false" ht="15" hidden="false" customHeight="false" outlineLevel="0" collapsed="false">
      <c r="A14" s="6" t="s">
        <v>143</v>
      </c>
      <c r="B14" s="23" t="str">
        <f aca="false">IF(B13="","",IF(B13&lt;=B12,"Supports reliance: upper limit is within the tolerable rate","Does not support reliance: upper limit exceeds the tolerable rate"))</f>
        <v>Does not support reliance: upper limit exceeds the tolerable rate</v>
      </c>
    </row>
    <row r="15" customFormat="false" ht="15" hidden="false" customHeight="false" outlineLevel="0" collapsed="false">
      <c r="A15" s="6" t="s">
        <v>144</v>
      </c>
      <c r="B15" s="23" t="str">
        <f aca="false">IF(B5=0,"",IF(B5&gt;=B6,"Yes","No: "&amp;(B6-B5)&amp;" items still to test"))</f>
        <v>Yes</v>
      </c>
    </row>
    <row r="16" customFormat="false" ht="15" hidden="false" customHeight="false" outlineLevel="0" collapsed="false">
      <c r="A16" s="5" t="s">
        <v>145</v>
      </c>
    </row>
    <row r="17" customFormat="false" ht="45" hidden="false" customHeight="true" outlineLevel="0" collapsed="false">
      <c r="A17" s="6" t="s">
        <v>146</v>
      </c>
      <c r="B17" s="7" t="s">
        <v>147</v>
      </c>
    </row>
    <row r="18" customFormat="false" ht="30" hidden="false" customHeight="true" outlineLevel="0" collapsed="false">
      <c r="A18" s="6" t="s">
        <v>148</v>
      </c>
      <c r="B18" s="7" t="s">
        <v>149</v>
      </c>
    </row>
    <row r="19" customFormat="false" ht="15" hidden="false" customHeight="false" outlineLevel="0" collapsed="false">
      <c r="A19" s="6" t="s">
        <v>150</v>
      </c>
      <c r="B19" s="7" t="s">
        <v>151</v>
      </c>
    </row>
    <row r="20" customFormat="false" ht="15" hidden="false" customHeight="false" outlineLevel="0" collapsed="false">
      <c r="A20" s="6" t="s">
        <v>152</v>
      </c>
      <c r="B20" s="7" t="s">
        <v>151</v>
      </c>
    </row>
    <row r="21" customFormat="false" ht="60" hidden="false" customHeight="true" outlineLevel="0" collapsed="false">
      <c r="A21" s="6" t="s">
        <v>153</v>
      </c>
      <c r="B21" s="7" t="s">
        <v>154</v>
      </c>
    </row>
    <row r="22" customFormat="false" ht="15" hidden="false" customHeight="false" outlineLevel="0" collapsed="false">
      <c r="A22" s="6" t="s">
        <v>155</v>
      </c>
      <c r="B22" s="7" t="s">
        <v>36</v>
      </c>
    </row>
    <row r="23" customFormat="false" ht="15" hidden="false" customHeight="false" outlineLevel="0" collapsed="false">
      <c r="A23" s="5" t="s">
        <v>156</v>
      </c>
    </row>
    <row r="24" customFormat="false" ht="15" hidden="false" customHeight="false" outlineLevel="0" collapsed="false">
      <c r="A24" s="6" t="s">
        <v>157</v>
      </c>
      <c r="B24" s="7" t="s">
        <v>68</v>
      </c>
    </row>
    <row r="25" customFormat="false" ht="15" hidden="false" customHeight="false" outlineLevel="0" collapsed="false">
      <c r="A25" s="6" t="s">
        <v>158</v>
      </c>
      <c r="B25" s="8" t="n">
        <v>46227</v>
      </c>
    </row>
    <row r="26" customFormat="false" ht="15" hidden="false" customHeight="false" outlineLevel="0" collapsed="false">
      <c r="A26" s="6" t="s">
        <v>159</v>
      </c>
      <c r="B26" s="7" t="s">
        <v>160</v>
      </c>
    </row>
    <row r="27" customFormat="false" ht="15" hidden="false" customHeight="false" outlineLevel="0" collapsed="false">
      <c r="A27" s="6" t="s">
        <v>161</v>
      </c>
      <c r="B27" s="8" t="n">
        <v>46232</v>
      </c>
    </row>
    <row r="28" customFormat="false" ht="30" hidden="false" customHeight="true" outlineLevel="0" collapsed="false">
      <c r="A28" s="6" t="s">
        <v>162</v>
      </c>
      <c r="B28" s="7" t="s">
        <v>163</v>
      </c>
    </row>
  </sheetData>
  <conditionalFormatting sqref="B14">
    <cfRule type="expression" priority="2" aboveAverage="0" equalAverage="0" bottom="0" percent="0" rank="0" text="" dxfId="8">
      <formula>LEFT(B14,4)="Does"</formula>
    </cfRule>
    <cfRule type="expression" priority="3" aboveAverage="0" equalAverage="0" bottom="0" percent="0" rank="0" text="" dxfId="9">
      <formula>LEFT(B14,4)="Supp"</formula>
    </cfRule>
  </conditionalFormatting>
  <dataValidations count="4">
    <dataValidation allowBlank="true" error="Please choose a value from the drop-down list." errorStyle="stop" operator="between" showDropDown="false" showErrorMessage="true" showInputMessage="false" sqref="B11" type="list">
      <formula1>Lists!$H$5:$H$8</formula1>
      <formula2>0</formula2>
    </dataValidation>
    <dataValidation allowBlank="true" error="Please choose a value from the drop-down list." errorStyle="stop" operator="between" showDropDown="false" showErrorMessage="true" showInputMessage="false" sqref="B19" type="list">
      <formula1>Lists!$G$5:$G$8</formula1>
      <formula2>0</formula2>
    </dataValidation>
    <dataValidation allowBlank="true" error="Please choose a value from the drop-down list." errorStyle="stop" operator="between" showDropDown="false" showErrorMessage="true" showInputMessage="false" sqref="B20" type="list">
      <formula1>Lists!$G$5:$G$8</formula1>
      <formula2>0</formula2>
    </dataValidation>
    <dataValidation allowBlank="true" error="Please choose a value from the drop-down list." errorStyle="stop" operator="between" showDropDown="false" showErrorMessage="true" showInputMessage="false" sqref="B22" type="list">
      <formula1>Lists!$I$5:$I$6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5" min="3" style="0" width="14"/>
  </cols>
  <sheetData>
    <row r="1" customFormat="false" ht="25.5" hidden="false" customHeight="true" outlineLevel="0" collapsed="false">
      <c r="A1" s="1" t="s">
        <v>164</v>
      </c>
    </row>
    <row r="2" customFormat="false" ht="15" hidden="false" customHeight="false" outlineLevel="0" collapsed="false">
      <c r="A2" s="2" t="s">
        <v>165</v>
      </c>
    </row>
    <row r="4" customFormat="false" ht="31.5" hidden="false" customHeight="true" outlineLevel="0" collapsed="false">
      <c r="A4" s="10" t="s">
        <v>166</v>
      </c>
      <c r="B4" s="10" t="s">
        <v>142</v>
      </c>
      <c r="C4" s="10" t="s">
        <v>167</v>
      </c>
      <c r="D4" s="10" t="s">
        <v>168</v>
      </c>
      <c r="E4" s="10" t="s">
        <v>169</v>
      </c>
    </row>
    <row r="5" customFormat="false" ht="15" hidden="false" customHeight="false" outlineLevel="0" collapsed="false">
      <c r="A5" s="25" t="n">
        <v>0.8</v>
      </c>
      <c r="B5" s="25" t="n">
        <v>0.05</v>
      </c>
      <c r="C5" s="26" t="n">
        <v>32</v>
      </c>
      <c r="D5" s="26" t="n">
        <v>59</v>
      </c>
      <c r="E5" s="26" t="n">
        <v>85</v>
      </c>
    </row>
    <row r="6" customFormat="false" ht="15" hidden="false" customHeight="false" outlineLevel="0" collapsed="false">
      <c r="A6" s="25" t="n">
        <v>0.8</v>
      </c>
      <c r="B6" s="25" t="n">
        <v>0.1</v>
      </c>
      <c r="C6" s="26" t="n">
        <v>16</v>
      </c>
      <c r="D6" s="26" t="n">
        <v>29</v>
      </c>
      <c r="E6" s="26" t="n">
        <v>42</v>
      </c>
    </row>
    <row r="7" customFormat="false" ht="15" hidden="false" customHeight="false" outlineLevel="0" collapsed="false">
      <c r="A7" s="25" t="n">
        <v>0.8</v>
      </c>
      <c r="B7" s="25" t="n">
        <v>0.15</v>
      </c>
      <c r="C7" s="26" t="n">
        <v>10</v>
      </c>
      <c r="D7" s="26" t="n">
        <v>19</v>
      </c>
      <c r="E7" s="26" t="n">
        <v>28</v>
      </c>
    </row>
    <row r="8" customFormat="false" ht="15" hidden="false" customHeight="false" outlineLevel="0" collapsed="false">
      <c r="A8" s="25" t="n">
        <v>0.8</v>
      </c>
      <c r="B8" s="25" t="n">
        <v>0.2</v>
      </c>
      <c r="C8" s="26" t="n">
        <v>8</v>
      </c>
      <c r="D8" s="26" t="n">
        <v>14</v>
      </c>
      <c r="E8" s="26" t="n">
        <v>21</v>
      </c>
    </row>
    <row r="9" customFormat="false" ht="15" hidden="false" customHeight="false" outlineLevel="0" collapsed="false">
      <c r="A9" s="25" t="n">
        <v>0.9</v>
      </c>
      <c r="B9" s="25" t="n">
        <v>0.05</v>
      </c>
      <c r="C9" s="26" t="n">
        <v>45</v>
      </c>
      <c r="D9" s="26" t="n">
        <v>77</v>
      </c>
      <c r="E9" s="26" t="n">
        <v>105</v>
      </c>
    </row>
    <row r="10" customFormat="false" ht="15" hidden="false" customHeight="false" outlineLevel="0" collapsed="false">
      <c r="A10" s="25" t="n">
        <v>0.9</v>
      </c>
      <c r="B10" s="25" t="n">
        <v>0.1</v>
      </c>
      <c r="C10" s="26" t="n">
        <v>22</v>
      </c>
      <c r="D10" s="26" t="n">
        <v>38</v>
      </c>
      <c r="E10" s="26" t="n">
        <v>52</v>
      </c>
    </row>
    <row r="11" customFormat="false" ht="15" hidden="false" customHeight="false" outlineLevel="0" collapsed="false">
      <c r="A11" s="25" t="n">
        <v>0.9</v>
      </c>
      <c r="B11" s="25" t="n">
        <v>0.15</v>
      </c>
      <c r="C11" s="26" t="n">
        <v>15</v>
      </c>
      <c r="D11" s="26" t="n">
        <v>25</v>
      </c>
      <c r="E11" s="26" t="n">
        <v>34</v>
      </c>
    </row>
    <row r="12" customFormat="false" ht="15" hidden="false" customHeight="false" outlineLevel="0" collapsed="false">
      <c r="A12" s="25" t="n">
        <v>0.9</v>
      </c>
      <c r="B12" s="25" t="n">
        <v>0.2</v>
      </c>
      <c r="C12" s="26" t="n">
        <v>11</v>
      </c>
      <c r="D12" s="26" t="n">
        <v>18</v>
      </c>
      <c r="E12" s="26" t="n">
        <v>25</v>
      </c>
    </row>
    <row r="13" customFormat="false" ht="15" hidden="false" customHeight="false" outlineLevel="0" collapsed="false">
      <c r="A13" s="25" t="n">
        <v>0.95</v>
      </c>
      <c r="B13" s="25" t="n">
        <v>0.05</v>
      </c>
      <c r="C13" s="26" t="n">
        <v>59</v>
      </c>
      <c r="D13" s="26" t="n">
        <v>93</v>
      </c>
      <c r="E13" s="26" t="n">
        <v>124</v>
      </c>
    </row>
    <row r="14" customFormat="false" ht="15" hidden="false" customHeight="false" outlineLevel="0" collapsed="false">
      <c r="A14" s="25" t="n">
        <v>0.95</v>
      </c>
      <c r="B14" s="25" t="n">
        <v>0.1</v>
      </c>
      <c r="C14" s="26" t="n">
        <v>29</v>
      </c>
      <c r="D14" s="26" t="n">
        <v>46</v>
      </c>
      <c r="E14" s="26" t="n">
        <v>61</v>
      </c>
    </row>
    <row r="15" customFormat="false" ht="15" hidden="false" customHeight="false" outlineLevel="0" collapsed="false">
      <c r="A15" s="25" t="n">
        <v>0.95</v>
      </c>
      <c r="B15" s="25" t="n">
        <v>0.15</v>
      </c>
      <c r="C15" s="26" t="n">
        <v>19</v>
      </c>
      <c r="D15" s="26" t="n">
        <v>30</v>
      </c>
      <c r="E15" s="26" t="n">
        <v>40</v>
      </c>
    </row>
    <row r="16" customFormat="false" ht="15" hidden="false" customHeight="false" outlineLevel="0" collapsed="false">
      <c r="A16" s="25" t="n">
        <v>0.95</v>
      </c>
      <c r="B16" s="25" t="n">
        <v>0.2</v>
      </c>
      <c r="C16" s="26" t="n">
        <v>14</v>
      </c>
      <c r="D16" s="26" t="n">
        <v>22</v>
      </c>
      <c r="E16" s="26" t="n">
        <v>30</v>
      </c>
    </row>
    <row r="18" customFormat="false" ht="31.5" hidden="false" customHeight="true" outlineLevel="0" collapsed="false">
      <c r="A18" s="27" t="s">
        <v>170</v>
      </c>
      <c r="B18" s="27"/>
      <c r="C18" s="27"/>
      <c r="D18" s="27"/>
      <c r="E18" s="27"/>
    </row>
    <row r="19" customFormat="false" ht="31.5" hidden="false" customHeight="true" outlineLevel="0" collapsed="false">
      <c r="A19" s="27" t="s">
        <v>171</v>
      </c>
      <c r="B19" s="27"/>
      <c r="C19" s="27"/>
      <c r="D19" s="27"/>
      <c r="E19" s="27"/>
    </row>
    <row r="20" customFormat="false" ht="31.5" hidden="false" customHeight="true" outlineLevel="0" collapsed="false">
      <c r="A20" s="27" t="s">
        <v>172</v>
      </c>
      <c r="B20" s="27"/>
      <c r="C20" s="27"/>
      <c r="D20" s="27"/>
      <c r="E20" s="27"/>
    </row>
    <row r="21" customFormat="false" ht="31.5" hidden="false" customHeight="true" outlineLevel="0" collapsed="false">
      <c r="A21" s="27" t="s">
        <v>173</v>
      </c>
      <c r="B21" s="27"/>
      <c r="C21" s="27"/>
      <c r="D21" s="27"/>
      <c r="E21" s="27"/>
    </row>
  </sheetData>
  <mergeCells count="4">
    <mergeCell ref="A18:E18"/>
    <mergeCell ref="A19:E19"/>
    <mergeCell ref="A20:E20"/>
    <mergeCell ref="A21:E2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9" min="1" style="0" width="24"/>
  </cols>
  <sheetData>
    <row r="1" customFormat="false" ht="25.5" hidden="false" customHeight="true" outlineLevel="0" collapsed="false">
      <c r="A1" s="1" t="s">
        <v>174</v>
      </c>
    </row>
    <row r="2" customFormat="false" ht="15" hidden="false" customHeight="false" outlineLevel="0" collapsed="false">
      <c r="A2" s="2" t="s">
        <v>175</v>
      </c>
    </row>
    <row r="4" customFormat="false" ht="15" hidden="false" customHeight="false" outlineLevel="0" collapsed="false">
      <c r="A4" s="6" t="s">
        <v>29</v>
      </c>
      <c r="B4" s="6" t="s">
        <v>31</v>
      </c>
      <c r="C4" s="6" t="s">
        <v>33</v>
      </c>
      <c r="D4" s="6" t="s">
        <v>52</v>
      </c>
      <c r="E4" s="6" t="s">
        <v>176</v>
      </c>
      <c r="F4" s="6" t="s">
        <v>177</v>
      </c>
      <c r="G4" s="6" t="s">
        <v>145</v>
      </c>
      <c r="H4" s="6" t="s">
        <v>166</v>
      </c>
      <c r="I4" s="6" t="s">
        <v>178</v>
      </c>
    </row>
    <row r="5" customFormat="false" ht="15" hidden="false" customHeight="false" outlineLevel="0" collapsed="false">
      <c r="A5" s="18" t="s">
        <v>30</v>
      </c>
      <c r="B5" s="18" t="s">
        <v>32</v>
      </c>
      <c r="C5" s="18" t="s">
        <v>179</v>
      </c>
      <c r="D5" s="18" t="s">
        <v>180</v>
      </c>
      <c r="E5" s="18" t="s">
        <v>43</v>
      </c>
      <c r="F5" s="18" t="s">
        <v>36</v>
      </c>
      <c r="G5" s="18" t="s">
        <v>43</v>
      </c>
      <c r="H5" s="28" t="n">
        <v>0.8</v>
      </c>
      <c r="I5" s="18" t="s">
        <v>36</v>
      </c>
    </row>
    <row r="6" customFormat="false" ht="15" hidden="false" customHeight="false" outlineLevel="0" collapsed="false">
      <c r="A6" s="18" t="s">
        <v>181</v>
      </c>
      <c r="B6" s="18" t="s">
        <v>182</v>
      </c>
      <c r="C6" s="18" t="s">
        <v>34</v>
      </c>
      <c r="D6" s="18" t="s">
        <v>183</v>
      </c>
      <c r="E6" s="18" t="s">
        <v>151</v>
      </c>
      <c r="F6" s="18" t="s">
        <v>107</v>
      </c>
      <c r="G6" s="18" t="s">
        <v>151</v>
      </c>
      <c r="H6" s="28" t="n">
        <v>0.9</v>
      </c>
      <c r="I6" s="18" t="s">
        <v>107</v>
      </c>
    </row>
    <row r="7" customFormat="false" ht="15" hidden="false" customHeight="false" outlineLevel="0" collapsed="false">
      <c r="A7" s="18" t="s">
        <v>184</v>
      </c>
      <c r="B7" s="18" t="s">
        <v>185</v>
      </c>
      <c r="C7" s="18" t="s">
        <v>186</v>
      </c>
      <c r="D7" s="18" t="s">
        <v>187</v>
      </c>
      <c r="E7" s="18" t="s">
        <v>188</v>
      </c>
      <c r="F7" s="18" t="s">
        <v>189</v>
      </c>
      <c r="G7" s="18" t="s">
        <v>188</v>
      </c>
      <c r="H7" s="28" t="n">
        <v>0.95</v>
      </c>
    </row>
    <row r="8" customFormat="false" ht="15" hidden="false" customHeight="false" outlineLevel="0" collapsed="false">
      <c r="A8" s="18" t="s">
        <v>190</v>
      </c>
      <c r="D8" s="18" t="s">
        <v>53</v>
      </c>
      <c r="G8" s="18" t="s">
        <v>191</v>
      </c>
      <c r="H8" s="28" t="n">
        <v>0.99</v>
      </c>
    </row>
    <row r="9" customFormat="false" ht="15" hidden="false" customHeight="false" outlineLevel="0" collapsed="false">
      <c r="A9" s="18" t="s">
        <v>192</v>
      </c>
      <c r="D9" s="18" t="s">
        <v>193</v>
      </c>
    </row>
    <row r="10" customFormat="false" ht="15" hidden="false" customHeight="false" outlineLevel="0" collapsed="false">
      <c r="A10" s="18" t="s">
        <v>194</v>
      </c>
    </row>
    <row r="11" customFormat="false" ht="15" hidden="false" customHeight="false" outlineLevel="0" collapsed="false">
      <c r="A11" s="18" t="s">
        <v>195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2026-09-28T05:47:59Z</dcterms:created>
  <dc:creator>openpyxl</dc:creator>
  <dc:description/>
  <dc:language>en-US</dc:language>
  <cp:lastModifiedBy/>
  <dcterms:modified xsi:type="dcterms:W3CDTF">2026-09-28T05:47:59Z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