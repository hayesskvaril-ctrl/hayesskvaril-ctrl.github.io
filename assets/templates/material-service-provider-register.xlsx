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600" firstSheet="0" activeTab="0"/>
  </bookViews>
  <sheets>
    <sheet name="Read me" sheetId="1" state="visible" r:id="rId3"/>
    <sheet name="MSP register" sheetId="2" state="visible" r:id="rId4"/>
    <sheet name="Dashboard" sheetId="3" state="visible" r:id="rId5"/>
    <sheet name="Lists" sheetId="4" state="visible" r:id="rId6"/>
  </sheets>
  <definedNames>
    <definedName function="false" hidden="true" localSheetId="1" name="_xlnm._FilterDatabase" vbProcedure="false">'MSP register'!$A$4:$V$64</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<sst xmlns="http://schemas.openxmlformats.org/spreadsheetml/2006/main" count="107" uniqueCount="86">
  <si>
    <t xml:space="preserve">Material service provider register</t>
  </si>
  <si>
    <t xml:space="preserve">RiskLens Australia · free template · version 1.0 (September 2026)</t>
  </si>
  <si>
    <t xml:space="preserve">What this is</t>
  </si>
  <si>
    <t xml:space="preserve">An internal register of material service providers and the critical operations they support, for managing arrangements under CPS 230. Background: https://hayesskvaril-ctrl.github.io/risk-management/third-party-risk.html and https://hayesskvaril-ctrl.github.io/standards/cps-230.html</t>
  </si>
  <si>
    <t xml:space="preserve">APRA submission</t>
  </si>
  <si>
    <t xml:space="preserve">APRA publishes its own material service provider register template (updated 30 April 2026), which is its preferred way to submit registers. Use APRA's official template for submission. This workbook captures similar information for internal management and adds due diligence, contract and review tracking.</t>
  </si>
  <si>
    <t xml:space="preserve">How to use it</t>
  </si>
  <si>
    <t xml:space="preserve">1. Record each material arrangement and the critical operations it supports.
2. Record where services are delivered and data is held, including offshore locations and key fourth parties.
3. Track contract dates, due diligence and performance reviews. Alerts calculate automatically.
4. Record APRA notifications for new or materially changed arrangements.</t>
  </si>
  <si>
    <t xml:space="preserve">Alerts</t>
  </si>
  <si>
    <t xml:space="preserve">Contract alert: 'Ending soon' within 180 days of contract end. Review alert: 'OVERDUE' if the last review was more than 12 months ago.</t>
  </si>
  <si>
    <t xml:space="preserve">Colour key</t>
  </si>
  <si>
    <t xml:space="preserve">Pale yellow cells: fill these in (many have drop-down lists).
Grey-blue cells: calculated automatically; don't type over them.
Green rows: worked examples. Replace or delete them.</t>
  </si>
  <si>
    <t xml:space="preserve">Important</t>
  </si>
  <si>
    <t xml:space="preserve">RiskLens Australia provides general educational information only. It is not legal, financial or compliance advice and does not take into account your circumstances. Always refer to the official legislation and regulator guidance, and seek professional advice where appropriate.</t>
  </si>
  <si>
    <t xml:space="preserve">Fill in</t>
  </si>
  <si>
    <t xml:space="preserve">Calculated</t>
  </si>
  <si>
    <t xml:space="preserve">Example</t>
  </si>
  <si>
    <t xml:space="preserve">MSP register</t>
  </si>
  <si>
    <t xml:space="preserve">Fill in the yellow cells. Grey-blue cells calculate automatically.</t>
  </si>
  <si>
    <t xml:space="preserve">Provider ID</t>
  </si>
  <si>
    <t xml:space="preserve">Provider legal name</t>
  </si>
  <si>
    <t xml:space="preserve">ABN or overseas identifier</t>
  </si>
  <si>
    <t xml:space="preserve">Related party?</t>
  </si>
  <si>
    <t xml:space="preserve">Service category</t>
  </si>
  <si>
    <t xml:space="preserve">Description of services</t>
  </si>
  <si>
    <t xml:space="preserve">Critical operations supported</t>
  </si>
  <si>
    <t xml:space="preserve">Service delivery locations</t>
  </si>
  <si>
    <t xml:space="preserve">Data storage and processing locations</t>
  </si>
  <si>
    <t xml:space="preserve">Offshore?</t>
  </si>
  <si>
    <t xml:space="preserve">Key fourth parties</t>
  </si>
  <si>
    <t xml:space="preserve">Contract start</t>
  </si>
  <si>
    <t xml:space="preserve">Contract end</t>
  </si>
  <si>
    <t xml:space="preserve">Contract alert</t>
  </si>
  <si>
    <t xml:space="preserve">Contract meets CPS 230 requirements?</t>
  </si>
  <si>
    <t xml:space="preserve">Exit or contingency plan in place?</t>
  </si>
  <si>
    <t xml:space="preserve">Last due diligence or review</t>
  </si>
  <si>
    <t xml:space="preserve">Review alert</t>
  </si>
  <si>
    <t xml:space="preserve">Performance</t>
  </si>
  <si>
    <t xml:space="preserve">APRA notified (date)</t>
  </si>
  <si>
    <t xml:space="preserve">Relationship owner</t>
  </si>
  <si>
    <t xml:space="preserve">Notes</t>
  </si>
  <si>
    <t xml:space="preserve">MSP-01</t>
  </si>
  <si>
    <t xml:space="preserve">Example Administration Services Pty Ltd (fictional)</t>
  </si>
  <si>
    <t xml:space="preserve">00 000 000 000</t>
  </si>
  <si>
    <t xml:space="preserve">No</t>
  </si>
  <si>
    <t xml:space="preserve">Fund administration</t>
  </si>
  <si>
    <t xml:space="preserve">Member administration, contributions processing, benefit payments and call centre</t>
  </si>
  <si>
    <t xml:space="preserve">Fund administration; paying benefits; member enquiries</t>
  </si>
  <si>
    <t xml:space="preserve">Australia; Philippines (call centre overflow)</t>
  </si>
  <si>
    <t xml:space="preserve">Australia (cloud region: Sydney)</t>
  </si>
  <si>
    <t xml:space="preserve">Yes</t>
  </si>
  <si>
    <t xml:space="preserve">Cloud hosting provider; print and mail house</t>
  </si>
  <si>
    <t xml:space="preserve">Some concerns</t>
  </si>
  <si>
    <t xml:space="preserve">Head of Operations</t>
  </si>
  <si>
    <t xml:space="preserve">Two outages this year; recovery within tolerance but close to the limit.</t>
  </si>
  <si>
    <t xml:space="preserve">Dashboard</t>
  </si>
  <si>
    <t xml:space="preserve">Updates automatically from the register.</t>
  </si>
  <si>
    <t xml:space="preserve">Measure</t>
  </si>
  <si>
    <t xml:space="preserve">Value</t>
  </si>
  <si>
    <t xml:space="preserve">Arrangements recorded</t>
  </si>
  <si>
    <t xml:space="preserve">Offshore arrangements</t>
  </si>
  <si>
    <t xml:space="preserve">Contracts ending within 180 days</t>
  </si>
  <si>
    <t xml:space="preserve">Reviews overdue</t>
  </si>
  <si>
    <t xml:space="preserve">Contracts not yet meeting CPS 230</t>
  </si>
  <si>
    <t xml:space="preserve">No exit or contingency plan</t>
  </si>
  <si>
    <t xml:space="preserve">Serious performance concerns</t>
  </si>
  <si>
    <t xml:space="preserve">Arrangements by service category</t>
  </si>
  <si>
    <t xml:space="preserve">Count</t>
  </si>
  <si>
    <t xml:space="preserve">Core technology</t>
  </si>
  <si>
    <t xml:space="preserve">Cloud hosting</t>
  </si>
  <si>
    <t xml:space="preserve">Custody</t>
  </si>
  <si>
    <t xml:space="preserve">Investment management</t>
  </si>
  <si>
    <t xml:space="preserve">Insurance (group insurer)</t>
  </si>
  <si>
    <t xml:space="preserve">Claims management</t>
  </si>
  <si>
    <t xml:space="preserve">Credit assessment</t>
  </si>
  <si>
    <t xml:space="preserve">Payments</t>
  </si>
  <si>
    <t xml:space="preserve">Internal audit</t>
  </si>
  <si>
    <t xml:space="preserve">Risk management</t>
  </si>
  <si>
    <t xml:space="preserve">Data centre</t>
  </si>
  <si>
    <t xml:space="preserve">Other</t>
  </si>
  <si>
    <t xml:space="preserve">Drop-down lists</t>
  </si>
  <si>
    <t xml:space="preserve">Edit these values to suit your organisation. The drop-downs read from this tab.</t>
  </si>
  <si>
    <t xml:space="preserve">Yes / No</t>
  </si>
  <si>
    <t xml:space="preserve">Meeting expectations</t>
  </si>
  <si>
    <t xml:space="preserve">Unknown</t>
  </si>
  <si>
    <t xml:space="preserve">Serious concerns</t>
  </si>
</sst>
</file>

<file path=xl/styles.xml><?xml version="1.0" encoding="utf-8"?>
<styleSheet xmlns="http://schemas.openxmlformats.org/spreadsheetml/2006/main">
  <numFmts count="3">
    <numFmt numFmtId="164" formatCode="General"/>
    <numFmt numFmtId="165" formatCode="dd/mm/yyyy"/>
    <numFmt numFmtId="166" formatCode="General"/>
  </numFmts>
  <fonts count="10">
    <font>
      <sz val="11"/>
      <color theme="1"/>
      <name val="Calibri"/>
      <family val="2"/>
      <charset val="1"/>
    </font>
    <font>
      <sz val="10"/>
      <name val="Arial"/>
      <family val="0"/>
    </font>
    <font>
      <sz val="10"/>
      <name val="Arial"/>
      <family val="0"/>
    </font>
    <font>
      <sz val="10"/>
      <name val="Arial"/>
      <family val="0"/>
    </font>
    <font>
      <b val="true"/>
      <sz val="16"/>
      <color rgb="FF0F2942"/>
      <name val="Arial"/>
      <family val="0"/>
      <charset val="1"/>
    </font>
    <font>
      <i val="true"/>
      <sz val="10"/>
      <color rgb="FF4A5568"/>
      <name val="Arial"/>
      <family val="0"/>
      <charset val="1"/>
    </font>
    <font>
      <b val="true"/>
      <sz val="11"/>
      <color rgb="FF0F2942"/>
      <name val="Arial"/>
      <family val="0"/>
      <charset val="1"/>
    </font>
    <font>
      <sz val="10"/>
      <color rgb="FF000000"/>
      <name val="Arial"/>
      <family val="0"/>
      <charset val="1"/>
    </font>
    <font>
      <b val="true"/>
      <sz val="10"/>
      <color rgb="FFFFFFFF"/>
      <name val="Arial"/>
      <family val="0"/>
      <charset val="1"/>
    </font>
    <font>
      <b val="true"/>
      <sz val="10"/>
      <color rgb="FF000000"/>
      <name val="Arial"/>
      <family val="0"/>
      <charset val="1"/>
    </font>
  </fonts>
  <fills count="6">
    <fill>
      <patternFill patternType="none"/>
    </fill>
    <fill>
      <patternFill patternType="gray125"/>
    </fill>
    <fill>
      <patternFill patternType="solid">
        <fgColor rgb="FFFFF7D6"/>
        <bgColor rgb="FFEEF2F7"/>
      </patternFill>
    </fill>
    <fill>
      <patternFill patternType="solid">
        <fgColor rgb="FFEEF2F7"/>
        <bgColor rgb="FFE7F6EC"/>
      </patternFill>
    </fill>
    <fill>
      <patternFill patternType="solid">
        <fgColor rgb="FFE7F6EC"/>
        <bgColor rgb="FFEEF2F7"/>
      </patternFill>
    </fill>
    <fill>
      <patternFill patternType="solid">
        <fgColor rgb="FF0F2942"/>
        <bgColor rgb="FF333333"/>
      </patternFill>
    </fill>
  </fills>
  <borders count="2">
    <border diagonalUp="false" diagonalDown="false">
      <left/>
      <right/>
      <top/>
      <bottom/>
      <diagonal/>
    </border>
    <border diagonalUp="false" diagonalDown="false">
      <left style="thin">
        <color rgb="FFC9D3E0"/>
      </left>
      <right style="thin">
        <color rgb="FFC9D3E0"/>
      </right>
      <top style="thin">
        <color rgb="FFC9D3E0"/>
      </top>
      <bottom style="thin">
        <color rgb="FFC9D3E0"/>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4">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top" textRotation="0" wrapText="fals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7" fillId="2" borderId="1" xfId="0" applyFont="true" applyBorder="true" applyAlignment="true" applyProtection="false">
      <alignment horizontal="general" vertical="top" textRotation="0" wrapText="true" indent="0" shrinkToFit="false"/>
      <protection locked="true" hidden="false"/>
    </xf>
    <xf numFmtId="164" fontId="7" fillId="3" borderId="1" xfId="0" applyFont="true" applyBorder="true" applyAlignment="true" applyProtection="false">
      <alignment horizontal="general" vertical="top" textRotation="0" wrapText="true" indent="0" shrinkToFit="false"/>
      <protection locked="true" hidden="false"/>
    </xf>
    <xf numFmtId="164" fontId="7" fillId="4" borderId="1" xfId="0" applyFont="true" applyBorder="true" applyAlignment="true" applyProtection="false">
      <alignment horizontal="general" vertical="top" textRotation="0" wrapText="true" indent="0" shrinkToFit="false"/>
      <protection locked="true" hidden="false"/>
    </xf>
    <xf numFmtId="164" fontId="8" fillId="5" borderId="1" xfId="0" applyFont="true" applyBorder="true" applyAlignment="true" applyProtection="false">
      <alignment horizontal="general" vertical="center" textRotation="0" wrapText="true" indent="0" shrinkToFit="false"/>
      <protection locked="true" hidden="false"/>
    </xf>
    <xf numFmtId="165" fontId="7" fillId="4" borderId="1" xfId="0" applyFont="true" applyBorder="true" applyAlignment="true" applyProtection="false">
      <alignment horizontal="general" vertical="top" textRotation="0" wrapText="true" indent="0" shrinkToFit="false"/>
      <protection locked="true" hidden="false"/>
    </xf>
    <xf numFmtId="165" fontId="7" fillId="2" borderId="1" xfId="0" applyFont="true" applyBorder="true" applyAlignment="true" applyProtection="false">
      <alignment horizontal="general" vertical="top" textRotation="0" wrapText="tru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6" fontId="7" fillId="3" borderId="1" xfId="0" applyFont="true" applyBorder="true" applyAlignment="true" applyProtection="false">
      <alignment horizontal="center" vertical="top" textRotation="0" wrapText="true" indent="0" shrinkToFit="false"/>
      <protection locked="true" hidden="false"/>
    </xf>
    <xf numFmtId="164" fontId="9" fillId="0" borderId="1"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0">
    <dxf>
      <fill>
        <patternFill patternType="solid">
          <fgColor rgb="FF0F2942"/>
          <bgColor rgb="FF000000"/>
        </patternFill>
      </fill>
    </dxf>
    <dxf>
      <fill>
        <patternFill patternType="solid">
          <fgColor rgb="FFE7F6EC"/>
          <bgColor rgb="FF000000"/>
        </patternFill>
      </fill>
    </dxf>
    <dxf>
      <fill>
        <patternFill patternType="solid">
          <fgColor rgb="FFFFF7D6"/>
          <bgColor rgb="FF000000"/>
        </patternFill>
      </fill>
    </dxf>
    <dxf>
      <fill>
        <patternFill patternType="solid">
          <fgColor rgb="FF000000"/>
          <bgColor rgb="FF000000"/>
        </patternFill>
      </fill>
    </dxf>
    <dxf>
      <fill>
        <patternFill patternType="solid">
          <fgColor rgb="FFFFFFFF"/>
          <bgColor rgb="FF000000"/>
        </patternFill>
      </fill>
    </dxf>
    <dxf>
      <fill>
        <patternFill patternType="solid">
          <fgColor rgb="FFEEF2F7"/>
          <bgColor rgb="FF000000"/>
        </patternFill>
      </fill>
    </dxf>
    <dxf>
      <fill>
        <patternFill patternType="solid">
          <fgColor rgb="FFFCA5A5"/>
          <bgColor rgb="FF000000"/>
        </patternFill>
      </fill>
    </dxf>
    <dxf>
      <fill>
        <patternFill>
          <bgColor rgb="FFBFE5CB"/>
        </patternFill>
      </fill>
    </dxf>
    <dxf>
      <fill>
        <patternFill>
          <bgColor rgb="FFFDE68A"/>
        </patternFill>
      </fill>
    </dxf>
    <dxf>
      <fill>
        <patternFill>
          <bgColor rgb="FFFCA5A5"/>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7D6"/>
      <rgbColor rgb="FFE7F6EC"/>
      <rgbColor rgb="FF660066"/>
      <rgbColor rgb="FFFF8080"/>
      <rgbColor rgb="FF0066CC"/>
      <rgbColor rgb="FFC9D3E0"/>
      <rgbColor rgb="FF000080"/>
      <rgbColor rgb="FFFF00FF"/>
      <rgbColor rgb="FFFFFF00"/>
      <rgbColor rgb="FF00FFFF"/>
      <rgbColor rgb="FF800080"/>
      <rgbColor rgb="FF800000"/>
      <rgbColor rgb="FF008080"/>
      <rgbColor rgb="FF0000FF"/>
      <rgbColor rgb="FF00CCFF"/>
      <rgbColor rgb="FFEEF2F7"/>
      <rgbColor rgb="FFBFE5CB"/>
      <rgbColor rgb="FFFDE68A"/>
      <rgbColor rgb="FF99CCFF"/>
      <rgbColor rgb="FFFCA5A5"/>
      <rgbColor rgb="FFCC99FF"/>
      <rgbColor rgb="FFFFCC99"/>
      <rgbColor rgb="FF3366FF"/>
      <rgbColor rgb="FF33CCCC"/>
      <rgbColor rgb="FF99CC00"/>
      <rgbColor rgb="FFFFCC00"/>
      <rgbColor rgb="FFFF9900"/>
      <rgbColor rgb="FFFF6600"/>
      <rgbColor rgb="FF4A5568"/>
      <rgbColor rgb="FF969696"/>
      <rgbColor rgb="FF0F2942"/>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B13"/>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22"/>
    <col collapsed="false" customWidth="true" hidden="false" outlineLevel="0" max="2" min="2" style="0" width="100"/>
  </cols>
  <sheetData>
    <row r="1" customFormat="false" ht="25.5" hidden="false" customHeight="true" outlineLevel="0" collapsed="false">
      <c r="A1" s="1" t="s">
        <v>0</v>
      </c>
    </row>
    <row r="2" customFormat="false" ht="15" hidden="false" customHeight="false" outlineLevel="0" collapsed="false">
      <c r="A2" s="2" t="s">
        <v>1</v>
      </c>
    </row>
    <row r="4" customFormat="false" ht="45" hidden="false" customHeight="true" outlineLevel="0" collapsed="false">
      <c r="A4" s="3" t="s">
        <v>2</v>
      </c>
      <c r="B4" s="4" t="s">
        <v>3</v>
      </c>
    </row>
    <row r="5" customFormat="false" ht="60" hidden="false" customHeight="true" outlineLevel="0" collapsed="false">
      <c r="A5" s="3" t="s">
        <v>4</v>
      </c>
      <c r="B5" s="4" t="s">
        <v>5</v>
      </c>
    </row>
    <row r="6" customFormat="false" ht="105" hidden="false" customHeight="true" outlineLevel="0" collapsed="false">
      <c r="A6" s="3" t="s">
        <v>6</v>
      </c>
      <c r="B6" s="4" t="s">
        <v>7</v>
      </c>
    </row>
    <row r="7" customFormat="false" ht="30" hidden="false" customHeight="true" outlineLevel="0" collapsed="false">
      <c r="A7" s="3" t="s">
        <v>8</v>
      </c>
      <c r="B7" s="4" t="s">
        <v>9</v>
      </c>
    </row>
    <row r="8" customFormat="false" ht="60" hidden="false" customHeight="true" outlineLevel="0" collapsed="false">
      <c r="A8" s="3" t="s">
        <v>10</v>
      </c>
      <c r="B8" s="4" t="s">
        <v>11</v>
      </c>
    </row>
    <row r="9" customFormat="false" ht="45" hidden="false" customHeight="true" outlineLevel="0" collapsed="false">
      <c r="A9" s="3" t="s">
        <v>12</v>
      </c>
      <c r="B9" s="4" t="s">
        <v>13</v>
      </c>
    </row>
    <row r="11" customFormat="false" ht="15" hidden="false" customHeight="false" outlineLevel="0" collapsed="false">
      <c r="A11" s="5" t="s">
        <v>14</v>
      </c>
    </row>
    <row r="12" customFormat="false" ht="15" hidden="false" customHeight="false" outlineLevel="0" collapsed="false">
      <c r="A12" s="6" t="s">
        <v>15</v>
      </c>
    </row>
    <row r="13" customFormat="false" ht="15" hidden="false" customHeight="false" outlineLevel="0" collapsed="false">
      <c r="A13" s="7" t="s">
        <v>16</v>
      </c>
    </row>
  </sheetData>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V6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5390625" defaultRowHeight="15" zeroHeight="false" outlineLevelRow="0" outlineLevelCol="0"/>
  <cols>
    <col collapsed="false" customWidth="true" hidden="false" outlineLevel="0" max="1" min="1" style="0" width="10"/>
    <col collapsed="false" customWidth="true" hidden="false" outlineLevel="0" max="2" min="2" style="0" width="26"/>
    <col collapsed="false" customWidth="true" hidden="false" outlineLevel="0" max="3" min="3" style="0" width="16"/>
    <col collapsed="false" customWidth="true" hidden="false" outlineLevel="0" max="4" min="4" style="0" width="10"/>
    <col collapsed="false" customWidth="true" hidden="false" outlineLevel="0" max="5" min="5" style="0" width="18"/>
    <col collapsed="false" customWidth="true" hidden="false" outlineLevel="0" max="6" min="6" style="0" width="36"/>
    <col collapsed="false" customWidth="true" hidden="false" outlineLevel="0" max="7" min="7" style="0" width="28"/>
    <col collapsed="false" customWidth="true" hidden="false" outlineLevel="0" max="8" min="8" style="0" width="20"/>
    <col collapsed="false" customWidth="true" hidden="false" outlineLevel="0" max="9" min="9" style="0" width="22"/>
    <col collapsed="false" customWidth="true" hidden="false" outlineLevel="0" max="10" min="10" style="0" width="10"/>
    <col collapsed="false" customWidth="true" hidden="false" outlineLevel="0" max="11" min="11" style="0" width="24"/>
    <col collapsed="false" customWidth="true" hidden="false" outlineLevel="0" max="14" min="12" style="0" width="12"/>
    <col collapsed="false" customWidth="true" hidden="false" outlineLevel="0" max="16" min="15" style="0" width="14"/>
    <col collapsed="false" customWidth="true" hidden="false" outlineLevel="0" max="17" min="17" style="0" width="13"/>
    <col collapsed="false" customWidth="true" hidden="false" outlineLevel="0" max="18" min="18" style="0" width="11"/>
    <col collapsed="false" customWidth="true" hidden="false" outlineLevel="0" max="19" min="19" style="0" width="16"/>
    <col collapsed="false" customWidth="true" hidden="false" outlineLevel="0" max="20" min="20" style="0" width="13"/>
    <col collapsed="false" customWidth="true" hidden="false" outlineLevel="0" max="21" min="21" style="0" width="18"/>
    <col collapsed="false" customWidth="true" hidden="false" outlineLevel="0" max="22" min="22" style="0" width="30"/>
  </cols>
  <sheetData>
    <row r="1" customFormat="false" ht="25.5" hidden="false" customHeight="true" outlineLevel="0" collapsed="false">
      <c r="A1" s="1" t="s">
        <v>17</v>
      </c>
    </row>
    <row r="2" customFormat="false" ht="15" hidden="false" customHeight="false" outlineLevel="0" collapsed="false">
      <c r="A2" s="2" t="s">
        <v>18</v>
      </c>
    </row>
    <row r="4" customFormat="false" ht="43.5" hidden="false" customHeight="true" outlineLevel="0" collapsed="false">
      <c r="A4" s="8" t="s">
        <v>19</v>
      </c>
      <c r="B4" s="8" t="s">
        <v>20</v>
      </c>
      <c r="C4" s="8" t="s">
        <v>21</v>
      </c>
      <c r="D4" s="8" t="s">
        <v>22</v>
      </c>
      <c r="E4" s="8" t="s">
        <v>23</v>
      </c>
      <c r="F4" s="8" t="s">
        <v>24</v>
      </c>
      <c r="G4" s="8" t="s">
        <v>25</v>
      </c>
      <c r="H4" s="8" t="s">
        <v>26</v>
      </c>
      <c r="I4" s="8" t="s">
        <v>27</v>
      </c>
      <c r="J4" s="8" t="s">
        <v>28</v>
      </c>
      <c r="K4" s="8" t="s">
        <v>29</v>
      </c>
      <c r="L4" s="8" t="s">
        <v>30</v>
      </c>
      <c r="M4" s="8" t="s">
        <v>31</v>
      </c>
      <c r="N4" s="8" t="s">
        <v>32</v>
      </c>
      <c r="O4" s="8" t="s">
        <v>33</v>
      </c>
      <c r="P4" s="8" t="s">
        <v>34</v>
      </c>
      <c r="Q4" s="8" t="s">
        <v>35</v>
      </c>
      <c r="R4" s="8" t="s">
        <v>36</v>
      </c>
      <c r="S4" s="8" t="s">
        <v>37</v>
      </c>
      <c r="T4" s="8" t="s">
        <v>38</v>
      </c>
      <c r="U4" s="8" t="s">
        <v>39</v>
      </c>
      <c r="V4" s="8" t="s">
        <v>40</v>
      </c>
    </row>
    <row r="5" customFormat="false" ht="23.85" hidden="false" customHeight="false" outlineLevel="0" collapsed="false">
      <c r="A5" s="7" t="s">
        <v>41</v>
      </c>
      <c r="B5" s="7" t="s">
        <v>42</v>
      </c>
      <c r="C5" s="7" t="s">
        <v>43</v>
      </c>
      <c r="D5" s="7" t="s">
        <v>44</v>
      </c>
      <c r="E5" s="7" t="s">
        <v>45</v>
      </c>
      <c r="F5" s="7" t="s">
        <v>46</v>
      </c>
      <c r="G5" s="7" t="s">
        <v>47</v>
      </c>
      <c r="H5" s="7" t="s">
        <v>48</v>
      </c>
      <c r="I5" s="7" t="s">
        <v>49</v>
      </c>
      <c r="J5" s="7" t="s">
        <v>50</v>
      </c>
      <c r="K5" s="7" t="s">
        <v>51</v>
      </c>
      <c r="L5" s="9" t="n">
        <v>44743</v>
      </c>
      <c r="M5" s="9" t="n">
        <v>46477</v>
      </c>
      <c r="N5" s="6" t="str">
        <f aca="true">IF(M5="","",IF(M5&lt;TODAY(),"Expired",IF(M5-TODAY()&lt;=180,"Ending soon","OK")))</f>
        <v>OK</v>
      </c>
      <c r="O5" s="7" t="s">
        <v>50</v>
      </c>
      <c r="P5" s="7" t="s">
        <v>50</v>
      </c>
      <c r="Q5" s="9" t="n">
        <v>45870</v>
      </c>
      <c r="R5" s="6" t="str">
        <f aca="true">IF(Q5="","",IF(EDATE(Q5,12)&lt;TODAY(),"OVERDUE",IF(EDATE(Q5,12)-TODAY()&lt;=30,"Due soon","Current")))</f>
        <v>OVERDUE</v>
      </c>
      <c r="S5" s="7" t="s">
        <v>52</v>
      </c>
      <c r="T5" s="9" t="n">
        <v>45848</v>
      </c>
      <c r="U5" s="7" t="s">
        <v>53</v>
      </c>
      <c r="V5" s="7" t="s">
        <v>54</v>
      </c>
    </row>
    <row r="6" customFormat="false" ht="15" hidden="false" customHeight="false" outlineLevel="0" collapsed="false">
      <c r="A6" s="5"/>
      <c r="B6" s="5"/>
      <c r="C6" s="5"/>
      <c r="D6" s="5"/>
      <c r="E6" s="5"/>
      <c r="F6" s="5"/>
      <c r="G6" s="5"/>
      <c r="H6" s="5"/>
      <c r="I6" s="5"/>
      <c r="J6" s="5"/>
      <c r="K6" s="5"/>
      <c r="L6" s="10"/>
      <c r="M6" s="10"/>
      <c r="N6" s="6" t="str">
        <f aca="true">IF(M6="","",IF(M6&lt;TODAY(),"Expired",IF(M6-TODAY()&lt;=180,"Ending soon","OK")))</f>
        <v/>
      </c>
      <c r="O6" s="5"/>
      <c r="P6" s="5"/>
      <c r="Q6" s="10"/>
      <c r="R6" s="6" t="str">
        <f aca="true">IF(Q6="","",IF(EDATE(Q6,12)&lt;TODAY(),"OVERDUE",IF(EDATE(Q6,12)-TODAY()&lt;=30,"Due soon","Current")))</f>
        <v/>
      </c>
      <c r="S6" s="5"/>
      <c r="T6" s="10"/>
      <c r="U6" s="5"/>
      <c r="V6" s="5"/>
    </row>
    <row r="7" customFormat="false" ht="15" hidden="false" customHeight="false" outlineLevel="0" collapsed="false">
      <c r="A7" s="5"/>
      <c r="B7" s="5"/>
      <c r="C7" s="5"/>
      <c r="D7" s="5"/>
      <c r="E7" s="5"/>
      <c r="F7" s="5"/>
      <c r="G7" s="5"/>
      <c r="H7" s="5"/>
      <c r="I7" s="5"/>
      <c r="J7" s="5"/>
      <c r="K7" s="5"/>
      <c r="L7" s="10"/>
      <c r="M7" s="10"/>
      <c r="N7" s="6" t="str">
        <f aca="true">IF(M7="","",IF(M7&lt;TODAY(),"Expired",IF(M7-TODAY()&lt;=180,"Ending soon","OK")))</f>
        <v/>
      </c>
      <c r="O7" s="5"/>
      <c r="P7" s="5"/>
      <c r="Q7" s="10"/>
      <c r="R7" s="6" t="str">
        <f aca="true">IF(Q7="","",IF(EDATE(Q7,12)&lt;TODAY(),"OVERDUE",IF(EDATE(Q7,12)-TODAY()&lt;=30,"Due soon","Current")))</f>
        <v/>
      </c>
      <c r="S7" s="5"/>
      <c r="T7" s="10"/>
      <c r="U7" s="5"/>
      <c r="V7" s="5"/>
    </row>
    <row r="8" customFormat="false" ht="15" hidden="false" customHeight="false" outlineLevel="0" collapsed="false">
      <c r="A8" s="5"/>
      <c r="B8" s="5"/>
      <c r="C8" s="5"/>
      <c r="D8" s="5"/>
      <c r="E8" s="5"/>
      <c r="F8" s="5"/>
      <c r="G8" s="5"/>
      <c r="H8" s="5"/>
      <c r="I8" s="5"/>
      <c r="J8" s="5"/>
      <c r="K8" s="5"/>
      <c r="L8" s="10"/>
      <c r="M8" s="10"/>
      <c r="N8" s="6" t="str">
        <f aca="true">IF(M8="","",IF(M8&lt;TODAY(),"Expired",IF(M8-TODAY()&lt;=180,"Ending soon","OK")))</f>
        <v/>
      </c>
      <c r="O8" s="5"/>
      <c r="P8" s="5"/>
      <c r="Q8" s="10"/>
      <c r="R8" s="6" t="str">
        <f aca="true">IF(Q8="","",IF(EDATE(Q8,12)&lt;TODAY(),"OVERDUE",IF(EDATE(Q8,12)-TODAY()&lt;=30,"Due soon","Current")))</f>
        <v/>
      </c>
      <c r="S8" s="5"/>
      <c r="T8" s="10"/>
      <c r="U8" s="5"/>
      <c r="V8" s="5"/>
    </row>
    <row r="9" customFormat="false" ht="15" hidden="false" customHeight="false" outlineLevel="0" collapsed="false">
      <c r="A9" s="5"/>
      <c r="B9" s="5"/>
      <c r="C9" s="5"/>
      <c r="D9" s="5"/>
      <c r="E9" s="5"/>
      <c r="F9" s="5"/>
      <c r="G9" s="5"/>
      <c r="H9" s="5"/>
      <c r="I9" s="5"/>
      <c r="J9" s="5"/>
      <c r="K9" s="5"/>
      <c r="L9" s="10"/>
      <c r="M9" s="10"/>
      <c r="N9" s="6" t="str">
        <f aca="true">IF(M9="","",IF(M9&lt;TODAY(),"Expired",IF(M9-TODAY()&lt;=180,"Ending soon","OK")))</f>
        <v/>
      </c>
      <c r="O9" s="5"/>
      <c r="P9" s="5"/>
      <c r="Q9" s="10"/>
      <c r="R9" s="6" t="str">
        <f aca="true">IF(Q9="","",IF(EDATE(Q9,12)&lt;TODAY(),"OVERDUE",IF(EDATE(Q9,12)-TODAY()&lt;=30,"Due soon","Current")))</f>
        <v/>
      </c>
      <c r="S9" s="5"/>
      <c r="T9" s="10"/>
      <c r="U9" s="5"/>
      <c r="V9" s="5"/>
    </row>
    <row r="10" customFormat="false" ht="15" hidden="false" customHeight="false" outlineLevel="0" collapsed="false">
      <c r="A10" s="5"/>
      <c r="B10" s="5"/>
      <c r="C10" s="5"/>
      <c r="D10" s="5"/>
      <c r="E10" s="5"/>
      <c r="F10" s="5"/>
      <c r="G10" s="5"/>
      <c r="H10" s="5"/>
      <c r="I10" s="5"/>
      <c r="J10" s="5"/>
      <c r="K10" s="5"/>
      <c r="L10" s="10"/>
      <c r="M10" s="10"/>
      <c r="N10" s="6" t="str">
        <f aca="true">IF(M10="","",IF(M10&lt;TODAY(),"Expired",IF(M10-TODAY()&lt;=180,"Ending soon","OK")))</f>
        <v/>
      </c>
      <c r="O10" s="5"/>
      <c r="P10" s="5"/>
      <c r="Q10" s="10"/>
      <c r="R10" s="6" t="str">
        <f aca="true">IF(Q10="","",IF(EDATE(Q10,12)&lt;TODAY(),"OVERDUE",IF(EDATE(Q10,12)-TODAY()&lt;=30,"Due soon","Current")))</f>
        <v/>
      </c>
      <c r="S10" s="5"/>
      <c r="T10" s="10"/>
      <c r="U10" s="5"/>
      <c r="V10" s="5"/>
    </row>
    <row r="11" customFormat="false" ht="15" hidden="false" customHeight="false" outlineLevel="0" collapsed="false">
      <c r="A11" s="5"/>
      <c r="B11" s="5"/>
      <c r="C11" s="5"/>
      <c r="D11" s="5"/>
      <c r="E11" s="5"/>
      <c r="F11" s="5"/>
      <c r="G11" s="5"/>
      <c r="H11" s="5"/>
      <c r="I11" s="5"/>
      <c r="J11" s="5"/>
      <c r="K11" s="5"/>
      <c r="L11" s="10"/>
      <c r="M11" s="10"/>
      <c r="N11" s="6" t="str">
        <f aca="true">IF(M11="","",IF(M11&lt;TODAY(),"Expired",IF(M11-TODAY()&lt;=180,"Ending soon","OK")))</f>
        <v/>
      </c>
      <c r="O11" s="5"/>
      <c r="P11" s="5"/>
      <c r="Q11" s="10"/>
      <c r="R11" s="6" t="str">
        <f aca="true">IF(Q11="","",IF(EDATE(Q11,12)&lt;TODAY(),"OVERDUE",IF(EDATE(Q11,12)-TODAY()&lt;=30,"Due soon","Current")))</f>
        <v/>
      </c>
      <c r="S11" s="5"/>
      <c r="T11" s="10"/>
      <c r="U11" s="5"/>
      <c r="V11" s="5"/>
    </row>
    <row r="12" customFormat="false" ht="15" hidden="false" customHeight="false" outlineLevel="0" collapsed="false">
      <c r="A12" s="5"/>
      <c r="B12" s="5"/>
      <c r="C12" s="5"/>
      <c r="D12" s="5"/>
      <c r="E12" s="5"/>
      <c r="F12" s="5"/>
      <c r="G12" s="5"/>
      <c r="H12" s="5"/>
      <c r="I12" s="5"/>
      <c r="J12" s="5"/>
      <c r="K12" s="5"/>
      <c r="L12" s="10"/>
      <c r="M12" s="10"/>
      <c r="N12" s="6" t="str">
        <f aca="true">IF(M12="","",IF(M12&lt;TODAY(),"Expired",IF(M12-TODAY()&lt;=180,"Ending soon","OK")))</f>
        <v/>
      </c>
      <c r="O12" s="5"/>
      <c r="P12" s="5"/>
      <c r="Q12" s="10"/>
      <c r="R12" s="6" t="str">
        <f aca="true">IF(Q12="","",IF(EDATE(Q12,12)&lt;TODAY(),"OVERDUE",IF(EDATE(Q12,12)-TODAY()&lt;=30,"Due soon","Current")))</f>
        <v/>
      </c>
      <c r="S12" s="5"/>
      <c r="T12" s="10"/>
      <c r="U12" s="5"/>
      <c r="V12" s="5"/>
    </row>
    <row r="13" customFormat="false" ht="15" hidden="false" customHeight="false" outlineLevel="0" collapsed="false">
      <c r="A13" s="5"/>
      <c r="B13" s="5"/>
      <c r="C13" s="5"/>
      <c r="D13" s="5"/>
      <c r="E13" s="5"/>
      <c r="F13" s="5"/>
      <c r="G13" s="5"/>
      <c r="H13" s="5"/>
      <c r="I13" s="5"/>
      <c r="J13" s="5"/>
      <c r="K13" s="5"/>
      <c r="L13" s="10"/>
      <c r="M13" s="10"/>
      <c r="N13" s="6" t="str">
        <f aca="true">IF(M13="","",IF(M13&lt;TODAY(),"Expired",IF(M13-TODAY()&lt;=180,"Ending soon","OK")))</f>
        <v/>
      </c>
      <c r="O13" s="5"/>
      <c r="P13" s="5"/>
      <c r="Q13" s="10"/>
      <c r="R13" s="6" t="str">
        <f aca="true">IF(Q13="","",IF(EDATE(Q13,12)&lt;TODAY(),"OVERDUE",IF(EDATE(Q13,12)-TODAY()&lt;=30,"Due soon","Current")))</f>
        <v/>
      </c>
      <c r="S13" s="5"/>
      <c r="T13" s="10"/>
      <c r="U13" s="5"/>
      <c r="V13" s="5"/>
    </row>
    <row r="14" customFormat="false" ht="15" hidden="false" customHeight="false" outlineLevel="0" collapsed="false">
      <c r="A14" s="5"/>
      <c r="B14" s="5"/>
      <c r="C14" s="5"/>
      <c r="D14" s="5"/>
      <c r="E14" s="5"/>
      <c r="F14" s="5"/>
      <c r="G14" s="5"/>
      <c r="H14" s="5"/>
      <c r="I14" s="5"/>
      <c r="J14" s="5"/>
      <c r="K14" s="5"/>
      <c r="L14" s="10"/>
      <c r="M14" s="10"/>
      <c r="N14" s="6" t="str">
        <f aca="true">IF(M14="","",IF(M14&lt;TODAY(),"Expired",IF(M14-TODAY()&lt;=180,"Ending soon","OK")))</f>
        <v/>
      </c>
      <c r="O14" s="5"/>
      <c r="P14" s="5"/>
      <c r="Q14" s="10"/>
      <c r="R14" s="6" t="str">
        <f aca="true">IF(Q14="","",IF(EDATE(Q14,12)&lt;TODAY(),"OVERDUE",IF(EDATE(Q14,12)-TODAY()&lt;=30,"Due soon","Current")))</f>
        <v/>
      </c>
      <c r="S14" s="5"/>
      <c r="T14" s="10"/>
      <c r="U14" s="5"/>
      <c r="V14" s="5"/>
    </row>
    <row r="15" customFormat="false" ht="15" hidden="false" customHeight="false" outlineLevel="0" collapsed="false">
      <c r="A15" s="5"/>
      <c r="B15" s="5"/>
      <c r="C15" s="5"/>
      <c r="D15" s="5"/>
      <c r="E15" s="5"/>
      <c r="F15" s="5"/>
      <c r="G15" s="5"/>
      <c r="H15" s="5"/>
      <c r="I15" s="5"/>
      <c r="J15" s="5"/>
      <c r="K15" s="5"/>
      <c r="L15" s="10"/>
      <c r="M15" s="10"/>
      <c r="N15" s="6" t="str">
        <f aca="true">IF(M15="","",IF(M15&lt;TODAY(),"Expired",IF(M15-TODAY()&lt;=180,"Ending soon","OK")))</f>
        <v/>
      </c>
      <c r="O15" s="5"/>
      <c r="P15" s="5"/>
      <c r="Q15" s="10"/>
      <c r="R15" s="6" t="str">
        <f aca="true">IF(Q15="","",IF(EDATE(Q15,12)&lt;TODAY(),"OVERDUE",IF(EDATE(Q15,12)-TODAY()&lt;=30,"Due soon","Current")))</f>
        <v/>
      </c>
      <c r="S15" s="5"/>
      <c r="T15" s="10"/>
      <c r="U15" s="5"/>
      <c r="V15" s="5"/>
    </row>
    <row r="16" customFormat="false" ht="15" hidden="false" customHeight="false" outlineLevel="0" collapsed="false">
      <c r="A16" s="5"/>
      <c r="B16" s="5"/>
      <c r="C16" s="5"/>
      <c r="D16" s="5"/>
      <c r="E16" s="5"/>
      <c r="F16" s="5"/>
      <c r="G16" s="5"/>
      <c r="H16" s="5"/>
      <c r="I16" s="5"/>
      <c r="J16" s="5"/>
      <c r="K16" s="5"/>
      <c r="L16" s="10"/>
      <c r="M16" s="10"/>
      <c r="N16" s="6" t="str">
        <f aca="true">IF(M16="","",IF(M16&lt;TODAY(),"Expired",IF(M16-TODAY()&lt;=180,"Ending soon","OK")))</f>
        <v/>
      </c>
      <c r="O16" s="5"/>
      <c r="P16" s="5"/>
      <c r="Q16" s="10"/>
      <c r="R16" s="6" t="str">
        <f aca="true">IF(Q16="","",IF(EDATE(Q16,12)&lt;TODAY(),"OVERDUE",IF(EDATE(Q16,12)-TODAY()&lt;=30,"Due soon","Current")))</f>
        <v/>
      </c>
      <c r="S16" s="5"/>
      <c r="T16" s="10"/>
      <c r="U16" s="5"/>
      <c r="V16" s="5"/>
    </row>
    <row r="17" customFormat="false" ht="15" hidden="false" customHeight="false" outlineLevel="0" collapsed="false">
      <c r="A17" s="5"/>
      <c r="B17" s="5"/>
      <c r="C17" s="5"/>
      <c r="D17" s="5"/>
      <c r="E17" s="5"/>
      <c r="F17" s="5"/>
      <c r="G17" s="5"/>
      <c r="H17" s="5"/>
      <c r="I17" s="5"/>
      <c r="J17" s="5"/>
      <c r="K17" s="5"/>
      <c r="L17" s="10"/>
      <c r="M17" s="10"/>
      <c r="N17" s="6" t="str">
        <f aca="true">IF(M17="","",IF(M17&lt;TODAY(),"Expired",IF(M17-TODAY()&lt;=180,"Ending soon","OK")))</f>
        <v/>
      </c>
      <c r="O17" s="5"/>
      <c r="P17" s="5"/>
      <c r="Q17" s="10"/>
      <c r="R17" s="6" t="str">
        <f aca="true">IF(Q17="","",IF(EDATE(Q17,12)&lt;TODAY(),"OVERDUE",IF(EDATE(Q17,12)-TODAY()&lt;=30,"Due soon","Current")))</f>
        <v/>
      </c>
      <c r="S17" s="5"/>
      <c r="T17" s="10"/>
      <c r="U17" s="5"/>
      <c r="V17" s="5"/>
    </row>
    <row r="18" customFormat="false" ht="15" hidden="false" customHeight="false" outlineLevel="0" collapsed="false">
      <c r="A18" s="5"/>
      <c r="B18" s="5"/>
      <c r="C18" s="5"/>
      <c r="D18" s="5"/>
      <c r="E18" s="5"/>
      <c r="F18" s="5"/>
      <c r="G18" s="5"/>
      <c r="H18" s="5"/>
      <c r="I18" s="5"/>
      <c r="J18" s="5"/>
      <c r="K18" s="5"/>
      <c r="L18" s="10"/>
      <c r="M18" s="10"/>
      <c r="N18" s="6" t="str">
        <f aca="true">IF(M18="","",IF(M18&lt;TODAY(),"Expired",IF(M18-TODAY()&lt;=180,"Ending soon","OK")))</f>
        <v/>
      </c>
      <c r="O18" s="5"/>
      <c r="P18" s="5"/>
      <c r="Q18" s="10"/>
      <c r="R18" s="6" t="str">
        <f aca="true">IF(Q18="","",IF(EDATE(Q18,12)&lt;TODAY(),"OVERDUE",IF(EDATE(Q18,12)-TODAY()&lt;=30,"Due soon","Current")))</f>
        <v/>
      </c>
      <c r="S18" s="5"/>
      <c r="T18" s="10"/>
      <c r="U18" s="5"/>
      <c r="V18" s="5"/>
    </row>
    <row r="19" customFormat="false" ht="15" hidden="false" customHeight="false" outlineLevel="0" collapsed="false">
      <c r="A19" s="5"/>
      <c r="B19" s="5"/>
      <c r="C19" s="5"/>
      <c r="D19" s="5"/>
      <c r="E19" s="5"/>
      <c r="F19" s="5"/>
      <c r="G19" s="5"/>
      <c r="H19" s="5"/>
      <c r="I19" s="5"/>
      <c r="J19" s="5"/>
      <c r="K19" s="5"/>
      <c r="L19" s="10"/>
      <c r="M19" s="10"/>
      <c r="N19" s="6" t="str">
        <f aca="true">IF(M19="","",IF(M19&lt;TODAY(),"Expired",IF(M19-TODAY()&lt;=180,"Ending soon","OK")))</f>
        <v/>
      </c>
      <c r="O19" s="5"/>
      <c r="P19" s="5"/>
      <c r="Q19" s="10"/>
      <c r="R19" s="6" t="str">
        <f aca="true">IF(Q19="","",IF(EDATE(Q19,12)&lt;TODAY(),"OVERDUE",IF(EDATE(Q19,12)-TODAY()&lt;=30,"Due soon","Current")))</f>
        <v/>
      </c>
      <c r="S19" s="5"/>
      <c r="T19" s="10"/>
      <c r="U19" s="5"/>
      <c r="V19" s="5"/>
    </row>
    <row r="20" customFormat="false" ht="15" hidden="false" customHeight="false" outlineLevel="0" collapsed="false">
      <c r="A20" s="5"/>
      <c r="B20" s="5"/>
      <c r="C20" s="5"/>
      <c r="D20" s="5"/>
      <c r="E20" s="5"/>
      <c r="F20" s="5"/>
      <c r="G20" s="5"/>
      <c r="H20" s="5"/>
      <c r="I20" s="5"/>
      <c r="J20" s="5"/>
      <c r="K20" s="5"/>
      <c r="L20" s="10"/>
      <c r="M20" s="10"/>
      <c r="N20" s="6" t="str">
        <f aca="true">IF(M20="","",IF(M20&lt;TODAY(),"Expired",IF(M20-TODAY()&lt;=180,"Ending soon","OK")))</f>
        <v/>
      </c>
      <c r="O20" s="5"/>
      <c r="P20" s="5"/>
      <c r="Q20" s="10"/>
      <c r="R20" s="6" t="str">
        <f aca="true">IF(Q20="","",IF(EDATE(Q20,12)&lt;TODAY(),"OVERDUE",IF(EDATE(Q20,12)-TODAY()&lt;=30,"Due soon","Current")))</f>
        <v/>
      </c>
      <c r="S20" s="5"/>
      <c r="T20" s="10"/>
      <c r="U20" s="5"/>
      <c r="V20" s="5"/>
    </row>
    <row r="21" customFormat="false" ht="15" hidden="false" customHeight="false" outlineLevel="0" collapsed="false">
      <c r="A21" s="5"/>
      <c r="B21" s="5"/>
      <c r="C21" s="5"/>
      <c r="D21" s="5"/>
      <c r="E21" s="5"/>
      <c r="F21" s="5"/>
      <c r="G21" s="5"/>
      <c r="H21" s="5"/>
      <c r="I21" s="5"/>
      <c r="J21" s="5"/>
      <c r="K21" s="5"/>
      <c r="L21" s="10"/>
      <c r="M21" s="10"/>
      <c r="N21" s="6" t="str">
        <f aca="true">IF(M21="","",IF(M21&lt;TODAY(),"Expired",IF(M21-TODAY()&lt;=180,"Ending soon","OK")))</f>
        <v/>
      </c>
      <c r="O21" s="5"/>
      <c r="P21" s="5"/>
      <c r="Q21" s="10"/>
      <c r="R21" s="6" t="str">
        <f aca="true">IF(Q21="","",IF(EDATE(Q21,12)&lt;TODAY(),"OVERDUE",IF(EDATE(Q21,12)-TODAY()&lt;=30,"Due soon","Current")))</f>
        <v/>
      </c>
      <c r="S21" s="5"/>
      <c r="T21" s="10"/>
      <c r="U21" s="5"/>
      <c r="V21" s="5"/>
    </row>
    <row r="22" customFormat="false" ht="15" hidden="false" customHeight="false" outlineLevel="0" collapsed="false">
      <c r="A22" s="5"/>
      <c r="B22" s="5"/>
      <c r="C22" s="5"/>
      <c r="D22" s="5"/>
      <c r="E22" s="5"/>
      <c r="F22" s="5"/>
      <c r="G22" s="5"/>
      <c r="H22" s="5"/>
      <c r="I22" s="5"/>
      <c r="J22" s="5"/>
      <c r="K22" s="5"/>
      <c r="L22" s="10"/>
      <c r="M22" s="10"/>
      <c r="N22" s="6" t="str">
        <f aca="true">IF(M22="","",IF(M22&lt;TODAY(),"Expired",IF(M22-TODAY()&lt;=180,"Ending soon","OK")))</f>
        <v/>
      </c>
      <c r="O22" s="5"/>
      <c r="P22" s="5"/>
      <c r="Q22" s="10"/>
      <c r="R22" s="6" t="str">
        <f aca="true">IF(Q22="","",IF(EDATE(Q22,12)&lt;TODAY(),"OVERDUE",IF(EDATE(Q22,12)-TODAY()&lt;=30,"Due soon","Current")))</f>
        <v/>
      </c>
      <c r="S22" s="5"/>
      <c r="T22" s="10"/>
      <c r="U22" s="5"/>
      <c r="V22" s="5"/>
    </row>
    <row r="23" customFormat="false" ht="15" hidden="false" customHeight="false" outlineLevel="0" collapsed="false">
      <c r="A23" s="5"/>
      <c r="B23" s="5"/>
      <c r="C23" s="5"/>
      <c r="D23" s="5"/>
      <c r="E23" s="5"/>
      <c r="F23" s="5"/>
      <c r="G23" s="5"/>
      <c r="H23" s="5"/>
      <c r="I23" s="5"/>
      <c r="J23" s="5"/>
      <c r="K23" s="5"/>
      <c r="L23" s="10"/>
      <c r="M23" s="10"/>
      <c r="N23" s="6" t="str">
        <f aca="true">IF(M23="","",IF(M23&lt;TODAY(),"Expired",IF(M23-TODAY()&lt;=180,"Ending soon","OK")))</f>
        <v/>
      </c>
      <c r="O23" s="5"/>
      <c r="P23" s="5"/>
      <c r="Q23" s="10"/>
      <c r="R23" s="6" t="str">
        <f aca="true">IF(Q23="","",IF(EDATE(Q23,12)&lt;TODAY(),"OVERDUE",IF(EDATE(Q23,12)-TODAY()&lt;=30,"Due soon","Current")))</f>
        <v/>
      </c>
      <c r="S23" s="5"/>
      <c r="T23" s="10"/>
      <c r="U23" s="5"/>
      <c r="V23" s="5"/>
    </row>
    <row r="24" customFormat="false" ht="15" hidden="false" customHeight="false" outlineLevel="0" collapsed="false">
      <c r="A24" s="5"/>
      <c r="B24" s="5"/>
      <c r="C24" s="5"/>
      <c r="D24" s="5"/>
      <c r="E24" s="5"/>
      <c r="F24" s="5"/>
      <c r="G24" s="5"/>
      <c r="H24" s="5"/>
      <c r="I24" s="5"/>
      <c r="J24" s="5"/>
      <c r="K24" s="5"/>
      <c r="L24" s="10"/>
      <c r="M24" s="10"/>
      <c r="N24" s="6" t="str">
        <f aca="true">IF(M24="","",IF(M24&lt;TODAY(),"Expired",IF(M24-TODAY()&lt;=180,"Ending soon","OK")))</f>
        <v/>
      </c>
      <c r="O24" s="5"/>
      <c r="P24" s="5"/>
      <c r="Q24" s="10"/>
      <c r="R24" s="6" t="str">
        <f aca="true">IF(Q24="","",IF(EDATE(Q24,12)&lt;TODAY(),"OVERDUE",IF(EDATE(Q24,12)-TODAY()&lt;=30,"Due soon","Current")))</f>
        <v/>
      </c>
      <c r="S24" s="5"/>
      <c r="T24" s="10"/>
      <c r="U24" s="5"/>
      <c r="V24" s="5"/>
    </row>
    <row r="25" customFormat="false" ht="15" hidden="false" customHeight="false" outlineLevel="0" collapsed="false">
      <c r="A25" s="5"/>
      <c r="B25" s="5"/>
      <c r="C25" s="5"/>
      <c r="D25" s="5"/>
      <c r="E25" s="5"/>
      <c r="F25" s="5"/>
      <c r="G25" s="5"/>
      <c r="H25" s="5"/>
      <c r="I25" s="5"/>
      <c r="J25" s="5"/>
      <c r="K25" s="5"/>
      <c r="L25" s="10"/>
      <c r="M25" s="10"/>
      <c r="N25" s="6" t="str">
        <f aca="true">IF(M25="","",IF(M25&lt;TODAY(),"Expired",IF(M25-TODAY()&lt;=180,"Ending soon","OK")))</f>
        <v/>
      </c>
      <c r="O25" s="5"/>
      <c r="P25" s="5"/>
      <c r="Q25" s="10"/>
      <c r="R25" s="6" t="str">
        <f aca="true">IF(Q25="","",IF(EDATE(Q25,12)&lt;TODAY(),"OVERDUE",IF(EDATE(Q25,12)-TODAY()&lt;=30,"Due soon","Current")))</f>
        <v/>
      </c>
      <c r="S25" s="5"/>
      <c r="T25" s="10"/>
      <c r="U25" s="5"/>
      <c r="V25" s="5"/>
    </row>
    <row r="26" customFormat="false" ht="15" hidden="false" customHeight="false" outlineLevel="0" collapsed="false">
      <c r="A26" s="5"/>
      <c r="B26" s="5"/>
      <c r="C26" s="5"/>
      <c r="D26" s="5"/>
      <c r="E26" s="5"/>
      <c r="F26" s="5"/>
      <c r="G26" s="5"/>
      <c r="H26" s="5"/>
      <c r="I26" s="5"/>
      <c r="J26" s="5"/>
      <c r="K26" s="5"/>
      <c r="L26" s="10"/>
      <c r="M26" s="10"/>
      <c r="N26" s="6" t="str">
        <f aca="true">IF(M26="","",IF(M26&lt;TODAY(),"Expired",IF(M26-TODAY()&lt;=180,"Ending soon","OK")))</f>
        <v/>
      </c>
      <c r="O26" s="5"/>
      <c r="P26" s="5"/>
      <c r="Q26" s="10"/>
      <c r="R26" s="6" t="str">
        <f aca="true">IF(Q26="","",IF(EDATE(Q26,12)&lt;TODAY(),"OVERDUE",IF(EDATE(Q26,12)-TODAY()&lt;=30,"Due soon","Current")))</f>
        <v/>
      </c>
      <c r="S26" s="5"/>
      <c r="T26" s="10"/>
      <c r="U26" s="5"/>
      <c r="V26" s="5"/>
    </row>
    <row r="27" customFormat="false" ht="15" hidden="false" customHeight="false" outlineLevel="0" collapsed="false">
      <c r="A27" s="5"/>
      <c r="B27" s="5"/>
      <c r="C27" s="5"/>
      <c r="D27" s="5"/>
      <c r="E27" s="5"/>
      <c r="F27" s="5"/>
      <c r="G27" s="5"/>
      <c r="H27" s="5"/>
      <c r="I27" s="5"/>
      <c r="J27" s="5"/>
      <c r="K27" s="5"/>
      <c r="L27" s="10"/>
      <c r="M27" s="10"/>
      <c r="N27" s="6" t="str">
        <f aca="true">IF(M27="","",IF(M27&lt;TODAY(),"Expired",IF(M27-TODAY()&lt;=180,"Ending soon","OK")))</f>
        <v/>
      </c>
      <c r="O27" s="5"/>
      <c r="P27" s="5"/>
      <c r="Q27" s="10"/>
      <c r="R27" s="6" t="str">
        <f aca="true">IF(Q27="","",IF(EDATE(Q27,12)&lt;TODAY(),"OVERDUE",IF(EDATE(Q27,12)-TODAY()&lt;=30,"Due soon","Current")))</f>
        <v/>
      </c>
      <c r="S27" s="5"/>
      <c r="T27" s="10"/>
      <c r="U27" s="5"/>
      <c r="V27" s="5"/>
    </row>
    <row r="28" customFormat="false" ht="15" hidden="false" customHeight="false" outlineLevel="0" collapsed="false">
      <c r="A28" s="5"/>
      <c r="B28" s="5"/>
      <c r="C28" s="5"/>
      <c r="D28" s="5"/>
      <c r="E28" s="5"/>
      <c r="F28" s="5"/>
      <c r="G28" s="5"/>
      <c r="H28" s="5"/>
      <c r="I28" s="5"/>
      <c r="J28" s="5"/>
      <c r="K28" s="5"/>
      <c r="L28" s="10"/>
      <c r="M28" s="10"/>
      <c r="N28" s="6" t="str">
        <f aca="true">IF(M28="","",IF(M28&lt;TODAY(),"Expired",IF(M28-TODAY()&lt;=180,"Ending soon","OK")))</f>
        <v/>
      </c>
      <c r="O28" s="5"/>
      <c r="P28" s="5"/>
      <c r="Q28" s="10"/>
      <c r="R28" s="6" t="str">
        <f aca="true">IF(Q28="","",IF(EDATE(Q28,12)&lt;TODAY(),"OVERDUE",IF(EDATE(Q28,12)-TODAY()&lt;=30,"Due soon","Current")))</f>
        <v/>
      </c>
      <c r="S28" s="5"/>
      <c r="T28" s="10"/>
      <c r="U28" s="5"/>
      <c r="V28" s="5"/>
    </row>
    <row r="29" customFormat="false" ht="15" hidden="false" customHeight="false" outlineLevel="0" collapsed="false">
      <c r="A29" s="5"/>
      <c r="B29" s="5"/>
      <c r="C29" s="5"/>
      <c r="D29" s="5"/>
      <c r="E29" s="5"/>
      <c r="F29" s="5"/>
      <c r="G29" s="5"/>
      <c r="H29" s="5"/>
      <c r="I29" s="5"/>
      <c r="J29" s="5"/>
      <c r="K29" s="5"/>
      <c r="L29" s="10"/>
      <c r="M29" s="10"/>
      <c r="N29" s="6" t="str">
        <f aca="true">IF(M29="","",IF(M29&lt;TODAY(),"Expired",IF(M29-TODAY()&lt;=180,"Ending soon","OK")))</f>
        <v/>
      </c>
      <c r="O29" s="5"/>
      <c r="P29" s="5"/>
      <c r="Q29" s="10"/>
      <c r="R29" s="6" t="str">
        <f aca="true">IF(Q29="","",IF(EDATE(Q29,12)&lt;TODAY(),"OVERDUE",IF(EDATE(Q29,12)-TODAY()&lt;=30,"Due soon","Current")))</f>
        <v/>
      </c>
      <c r="S29" s="5"/>
      <c r="T29" s="10"/>
      <c r="U29" s="5"/>
      <c r="V29" s="5"/>
    </row>
    <row r="30" customFormat="false" ht="15" hidden="false" customHeight="false" outlineLevel="0" collapsed="false">
      <c r="A30" s="5"/>
      <c r="B30" s="5"/>
      <c r="C30" s="5"/>
      <c r="D30" s="5"/>
      <c r="E30" s="5"/>
      <c r="F30" s="5"/>
      <c r="G30" s="5"/>
      <c r="H30" s="5"/>
      <c r="I30" s="5"/>
      <c r="J30" s="5"/>
      <c r="K30" s="5"/>
      <c r="L30" s="10"/>
      <c r="M30" s="10"/>
      <c r="N30" s="6" t="str">
        <f aca="true">IF(M30="","",IF(M30&lt;TODAY(),"Expired",IF(M30-TODAY()&lt;=180,"Ending soon","OK")))</f>
        <v/>
      </c>
      <c r="O30" s="5"/>
      <c r="P30" s="5"/>
      <c r="Q30" s="10"/>
      <c r="R30" s="6" t="str">
        <f aca="true">IF(Q30="","",IF(EDATE(Q30,12)&lt;TODAY(),"OVERDUE",IF(EDATE(Q30,12)-TODAY()&lt;=30,"Due soon","Current")))</f>
        <v/>
      </c>
      <c r="S30" s="5"/>
      <c r="T30" s="10"/>
      <c r="U30" s="5"/>
      <c r="V30" s="5"/>
    </row>
    <row r="31" customFormat="false" ht="15" hidden="false" customHeight="false" outlineLevel="0" collapsed="false">
      <c r="A31" s="5"/>
      <c r="B31" s="5"/>
      <c r="C31" s="5"/>
      <c r="D31" s="5"/>
      <c r="E31" s="5"/>
      <c r="F31" s="5"/>
      <c r="G31" s="5"/>
      <c r="H31" s="5"/>
      <c r="I31" s="5"/>
      <c r="J31" s="5"/>
      <c r="K31" s="5"/>
      <c r="L31" s="10"/>
      <c r="M31" s="10"/>
      <c r="N31" s="6" t="str">
        <f aca="true">IF(M31="","",IF(M31&lt;TODAY(),"Expired",IF(M31-TODAY()&lt;=180,"Ending soon","OK")))</f>
        <v/>
      </c>
      <c r="O31" s="5"/>
      <c r="P31" s="5"/>
      <c r="Q31" s="10"/>
      <c r="R31" s="6" t="str">
        <f aca="true">IF(Q31="","",IF(EDATE(Q31,12)&lt;TODAY(),"OVERDUE",IF(EDATE(Q31,12)-TODAY()&lt;=30,"Due soon","Current")))</f>
        <v/>
      </c>
      <c r="S31" s="5"/>
      <c r="T31" s="10"/>
      <c r="U31" s="5"/>
      <c r="V31" s="5"/>
    </row>
    <row r="32" customFormat="false" ht="15" hidden="false" customHeight="false" outlineLevel="0" collapsed="false">
      <c r="A32" s="5"/>
      <c r="B32" s="5"/>
      <c r="C32" s="5"/>
      <c r="D32" s="5"/>
      <c r="E32" s="5"/>
      <c r="F32" s="5"/>
      <c r="G32" s="5"/>
      <c r="H32" s="5"/>
      <c r="I32" s="5"/>
      <c r="J32" s="5"/>
      <c r="K32" s="5"/>
      <c r="L32" s="10"/>
      <c r="M32" s="10"/>
      <c r="N32" s="6" t="str">
        <f aca="true">IF(M32="","",IF(M32&lt;TODAY(),"Expired",IF(M32-TODAY()&lt;=180,"Ending soon","OK")))</f>
        <v/>
      </c>
      <c r="O32" s="5"/>
      <c r="P32" s="5"/>
      <c r="Q32" s="10"/>
      <c r="R32" s="6" t="str">
        <f aca="true">IF(Q32="","",IF(EDATE(Q32,12)&lt;TODAY(),"OVERDUE",IF(EDATE(Q32,12)-TODAY()&lt;=30,"Due soon","Current")))</f>
        <v/>
      </c>
      <c r="S32" s="5"/>
      <c r="T32" s="10"/>
      <c r="U32" s="5"/>
      <c r="V32" s="5"/>
    </row>
    <row r="33" customFormat="false" ht="15" hidden="false" customHeight="false" outlineLevel="0" collapsed="false">
      <c r="A33" s="5"/>
      <c r="B33" s="5"/>
      <c r="C33" s="5"/>
      <c r="D33" s="5"/>
      <c r="E33" s="5"/>
      <c r="F33" s="5"/>
      <c r="G33" s="5"/>
      <c r="H33" s="5"/>
      <c r="I33" s="5"/>
      <c r="J33" s="5"/>
      <c r="K33" s="5"/>
      <c r="L33" s="10"/>
      <c r="M33" s="10"/>
      <c r="N33" s="6" t="str">
        <f aca="true">IF(M33="","",IF(M33&lt;TODAY(),"Expired",IF(M33-TODAY()&lt;=180,"Ending soon","OK")))</f>
        <v/>
      </c>
      <c r="O33" s="5"/>
      <c r="P33" s="5"/>
      <c r="Q33" s="10"/>
      <c r="R33" s="6" t="str">
        <f aca="true">IF(Q33="","",IF(EDATE(Q33,12)&lt;TODAY(),"OVERDUE",IF(EDATE(Q33,12)-TODAY()&lt;=30,"Due soon","Current")))</f>
        <v/>
      </c>
      <c r="S33" s="5"/>
      <c r="T33" s="10"/>
      <c r="U33" s="5"/>
      <c r="V33" s="5"/>
    </row>
    <row r="34" customFormat="false" ht="15" hidden="false" customHeight="false" outlineLevel="0" collapsed="false">
      <c r="A34" s="5"/>
      <c r="B34" s="5"/>
      <c r="C34" s="5"/>
      <c r="D34" s="5"/>
      <c r="E34" s="5"/>
      <c r="F34" s="5"/>
      <c r="G34" s="5"/>
      <c r="H34" s="5"/>
      <c r="I34" s="5"/>
      <c r="J34" s="5"/>
      <c r="K34" s="5"/>
      <c r="L34" s="10"/>
      <c r="M34" s="10"/>
      <c r="N34" s="6" t="str">
        <f aca="true">IF(M34="","",IF(M34&lt;TODAY(),"Expired",IF(M34-TODAY()&lt;=180,"Ending soon","OK")))</f>
        <v/>
      </c>
      <c r="O34" s="5"/>
      <c r="P34" s="5"/>
      <c r="Q34" s="10"/>
      <c r="R34" s="6" t="str">
        <f aca="true">IF(Q34="","",IF(EDATE(Q34,12)&lt;TODAY(),"OVERDUE",IF(EDATE(Q34,12)-TODAY()&lt;=30,"Due soon","Current")))</f>
        <v/>
      </c>
      <c r="S34" s="5"/>
      <c r="T34" s="10"/>
      <c r="U34" s="5"/>
      <c r="V34" s="5"/>
    </row>
    <row r="35" customFormat="false" ht="15" hidden="false" customHeight="false" outlineLevel="0" collapsed="false">
      <c r="A35" s="5"/>
      <c r="B35" s="5"/>
      <c r="C35" s="5"/>
      <c r="D35" s="5"/>
      <c r="E35" s="5"/>
      <c r="F35" s="5"/>
      <c r="G35" s="5"/>
      <c r="H35" s="5"/>
      <c r="I35" s="5"/>
      <c r="J35" s="5"/>
      <c r="K35" s="5"/>
      <c r="L35" s="10"/>
      <c r="M35" s="10"/>
      <c r="N35" s="6" t="str">
        <f aca="true">IF(M35="","",IF(M35&lt;TODAY(),"Expired",IF(M35-TODAY()&lt;=180,"Ending soon","OK")))</f>
        <v/>
      </c>
      <c r="O35" s="5"/>
      <c r="P35" s="5"/>
      <c r="Q35" s="10"/>
      <c r="R35" s="6" t="str">
        <f aca="true">IF(Q35="","",IF(EDATE(Q35,12)&lt;TODAY(),"OVERDUE",IF(EDATE(Q35,12)-TODAY()&lt;=30,"Due soon","Current")))</f>
        <v/>
      </c>
      <c r="S35" s="5"/>
      <c r="T35" s="10"/>
      <c r="U35" s="5"/>
      <c r="V35" s="5"/>
    </row>
    <row r="36" customFormat="false" ht="15" hidden="false" customHeight="false" outlineLevel="0" collapsed="false">
      <c r="A36" s="5"/>
      <c r="B36" s="5"/>
      <c r="C36" s="5"/>
      <c r="D36" s="5"/>
      <c r="E36" s="5"/>
      <c r="F36" s="5"/>
      <c r="G36" s="5"/>
      <c r="H36" s="5"/>
      <c r="I36" s="5"/>
      <c r="J36" s="5"/>
      <c r="K36" s="5"/>
      <c r="L36" s="10"/>
      <c r="M36" s="10"/>
      <c r="N36" s="6" t="str">
        <f aca="true">IF(M36="","",IF(M36&lt;TODAY(),"Expired",IF(M36-TODAY()&lt;=180,"Ending soon","OK")))</f>
        <v/>
      </c>
      <c r="O36" s="5"/>
      <c r="P36" s="5"/>
      <c r="Q36" s="10"/>
      <c r="R36" s="6" t="str">
        <f aca="true">IF(Q36="","",IF(EDATE(Q36,12)&lt;TODAY(),"OVERDUE",IF(EDATE(Q36,12)-TODAY()&lt;=30,"Due soon","Current")))</f>
        <v/>
      </c>
      <c r="S36" s="5"/>
      <c r="T36" s="10"/>
      <c r="U36" s="5"/>
      <c r="V36" s="5"/>
    </row>
    <row r="37" customFormat="false" ht="15" hidden="false" customHeight="false" outlineLevel="0" collapsed="false">
      <c r="A37" s="5"/>
      <c r="B37" s="5"/>
      <c r="C37" s="5"/>
      <c r="D37" s="5"/>
      <c r="E37" s="5"/>
      <c r="F37" s="5"/>
      <c r="G37" s="5"/>
      <c r="H37" s="5"/>
      <c r="I37" s="5"/>
      <c r="J37" s="5"/>
      <c r="K37" s="5"/>
      <c r="L37" s="10"/>
      <c r="M37" s="10"/>
      <c r="N37" s="6" t="str">
        <f aca="true">IF(M37="","",IF(M37&lt;TODAY(),"Expired",IF(M37-TODAY()&lt;=180,"Ending soon","OK")))</f>
        <v/>
      </c>
      <c r="O37" s="5"/>
      <c r="P37" s="5"/>
      <c r="Q37" s="10"/>
      <c r="R37" s="6" t="str">
        <f aca="true">IF(Q37="","",IF(EDATE(Q37,12)&lt;TODAY(),"OVERDUE",IF(EDATE(Q37,12)-TODAY()&lt;=30,"Due soon","Current")))</f>
        <v/>
      </c>
      <c r="S37" s="5"/>
      <c r="T37" s="10"/>
      <c r="U37" s="5"/>
      <c r="V37" s="5"/>
    </row>
    <row r="38" customFormat="false" ht="15" hidden="false" customHeight="false" outlineLevel="0" collapsed="false">
      <c r="A38" s="5"/>
      <c r="B38" s="5"/>
      <c r="C38" s="5"/>
      <c r="D38" s="5"/>
      <c r="E38" s="5"/>
      <c r="F38" s="5"/>
      <c r="G38" s="5"/>
      <c r="H38" s="5"/>
      <c r="I38" s="5"/>
      <c r="J38" s="5"/>
      <c r="K38" s="5"/>
      <c r="L38" s="10"/>
      <c r="M38" s="10"/>
      <c r="N38" s="6" t="str">
        <f aca="true">IF(M38="","",IF(M38&lt;TODAY(),"Expired",IF(M38-TODAY()&lt;=180,"Ending soon","OK")))</f>
        <v/>
      </c>
      <c r="O38" s="5"/>
      <c r="P38" s="5"/>
      <c r="Q38" s="10"/>
      <c r="R38" s="6" t="str">
        <f aca="true">IF(Q38="","",IF(EDATE(Q38,12)&lt;TODAY(),"OVERDUE",IF(EDATE(Q38,12)-TODAY()&lt;=30,"Due soon","Current")))</f>
        <v/>
      </c>
      <c r="S38" s="5"/>
      <c r="T38" s="10"/>
      <c r="U38" s="5"/>
      <c r="V38" s="5"/>
    </row>
    <row r="39" customFormat="false" ht="15" hidden="false" customHeight="false" outlineLevel="0" collapsed="false">
      <c r="A39" s="5"/>
      <c r="B39" s="5"/>
      <c r="C39" s="5"/>
      <c r="D39" s="5"/>
      <c r="E39" s="5"/>
      <c r="F39" s="5"/>
      <c r="G39" s="5"/>
      <c r="H39" s="5"/>
      <c r="I39" s="5"/>
      <c r="J39" s="5"/>
      <c r="K39" s="5"/>
      <c r="L39" s="10"/>
      <c r="M39" s="10"/>
      <c r="N39" s="6" t="str">
        <f aca="true">IF(M39="","",IF(M39&lt;TODAY(),"Expired",IF(M39-TODAY()&lt;=180,"Ending soon","OK")))</f>
        <v/>
      </c>
      <c r="O39" s="5"/>
      <c r="P39" s="5"/>
      <c r="Q39" s="10"/>
      <c r="R39" s="6" t="str">
        <f aca="true">IF(Q39="","",IF(EDATE(Q39,12)&lt;TODAY(),"OVERDUE",IF(EDATE(Q39,12)-TODAY()&lt;=30,"Due soon","Current")))</f>
        <v/>
      </c>
      <c r="S39" s="5"/>
      <c r="T39" s="10"/>
      <c r="U39" s="5"/>
      <c r="V39" s="5"/>
    </row>
    <row r="40" customFormat="false" ht="15" hidden="false" customHeight="false" outlineLevel="0" collapsed="false">
      <c r="A40" s="5"/>
      <c r="B40" s="5"/>
      <c r="C40" s="5"/>
      <c r="D40" s="5"/>
      <c r="E40" s="5"/>
      <c r="F40" s="5"/>
      <c r="G40" s="5"/>
      <c r="H40" s="5"/>
      <c r="I40" s="5"/>
      <c r="J40" s="5"/>
      <c r="K40" s="5"/>
      <c r="L40" s="10"/>
      <c r="M40" s="10"/>
      <c r="N40" s="6" t="str">
        <f aca="true">IF(M40="","",IF(M40&lt;TODAY(),"Expired",IF(M40-TODAY()&lt;=180,"Ending soon","OK")))</f>
        <v/>
      </c>
      <c r="O40" s="5"/>
      <c r="P40" s="5"/>
      <c r="Q40" s="10"/>
      <c r="R40" s="6" t="str">
        <f aca="true">IF(Q40="","",IF(EDATE(Q40,12)&lt;TODAY(),"OVERDUE",IF(EDATE(Q40,12)-TODAY()&lt;=30,"Due soon","Current")))</f>
        <v/>
      </c>
      <c r="S40" s="5"/>
      <c r="T40" s="10"/>
      <c r="U40" s="5"/>
      <c r="V40" s="5"/>
    </row>
    <row r="41" customFormat="false" ht="15" hidden="false" customHeight="false" outlineLevel="0" collapsed="false">
      <c r="A41" s="5"/>
      <c r="B41" s="5"/>
      <c r="C41" s="5"/>
      <c r="D41" s="5"/>
      <c r="E41" s="5"/>
      <c r="F41" s="5"/>
      <c r="G41" s="5"/>
      <c r="H41" s="5"/>
      <c r="I41" s="5"/>
      <c r="J41" s="5"/>
      <c r="K41" s="5"/>
      <c r="L41" s="10"/>
      <c r="M41" s="10"/>
      <c r="N41" s="6" t="str">
        <f aca="true">IF(M41="","",IF(M41&lt;TODAY(),"Expired",IF(M41-TODAY()&lt;=180,"Ending soon","OK")))</f>
        <v/>
      </c>
      <c r="O41" s="5"/>
      <c r="P41" s="5"/>
      <c r="Q41" s="10"/>
      <c r="R41" s="6" t="str">
        <f aca="true">IF(Q41="","",IF(EDATE(Q41,12)&lt;TODAY(),"OVERDUE",IF(EDATE(Q41,12)-TODAY()&lt;=30,"Due soon","Current")))</f>
        <v/>
      </c>
      <c r="S41" s="5"/>
      <c r="T41" s="10"/>
      <c r="U41" s="5"/>
      <c r="V41" s="5"/>
    </row>
    <row r="42" customFormat="false" ht="15" hidden="false" customHeight="false" outlineLevel="0" collapsed="false">
      <c r="A42" s="5"/>
      <c r="B42" s="5"/>
      <c r="C42" s="5"/>
      <c r="D42" s="5"/>
      <c r="E42" s="5"/>
      <c r="F42" s="5"/>
      <c r="G42" s="5"/>
      <c r="H42" s="5"/>
      <c r="I42" s="5"/>
      <c r="J42" s="5"/>
      <c r="K42" s="5"/>
      <c r="L42" s="10"/>
      <c r="M42" s="10"/>
      <c r="N42" s="6" t="str">
        <f aca="true">IF(M42="","",IF(M42&lt;TODAY(),"Expired",IF(M42-TODAY()&lt;=180,"Ending soon","OK")))</f>
        <v/>
      </c>
      <c r="O42" s="5"/>
      <c r="P42" s="5"/>
      <c r="Q42" s="10"/>
      <c r="R42" s="6" t="str">
        <f aca="true">IF(Q42="","",IF(EDATE(Q42,12)&lt;TODAY(),"OVERDUE",IF(EDATE(Q42,12)-TODAY()&lt;=30,"Due soon","Current")))</f>
        <v/>
      </c>
      <c r="S42" s="5"/>
      <c r="T42" s="10"/>
      <c r="U42" s="5"/>
      <c r="V42" s="5"/>
    </row>
    <row r="43" customFormat="false" ht="15" hidden="false" customHeight="false" outlineLevel="0" collapsed="false">
      <c r="A43" s="5"/>
      <c r="B43" s="5"/>
      <c r="C43" s="5"/>
      <c r="D43" s="5"/>
      <c r="E43" s="5"/>
      <c r="F43" s="5"/>
      <c r="G43" s="5"/>
      <c r="H43" s="5"/>
      <c r="I43" s="5"/>
      <c r="J43" s="5"/>
      <c r="K43" s="5"/>
      <c r="L43" s="10"/>
      <c r="M43" s="10"/>
      <c r="N43" s="6" t="str">
        <f aca="true">IF(M43="","",IF(M43&lt;TODAY(),"Expired",IF(M43-TODAY()&lt;=180,"Ending soon","OK")))</f>
        <v/>
      </c>
      <c r="O43" s="5"/>
      <c r="P43" s="5"/>
      <c r="Q43" s="10"/>
      <c r="R43" s="6" t="str">
        <f aca="true">IF(Q43="","",IF(EDATE(Q43,12)&lt;TODAY(),"OVERDUE",IF(EDATE(Q43,12)-TODAY()&lt;=30,"Due soon","Current")))</f>
        <v/>
      </c>
      <c r="S43" s="5"/>
      <c r="T43" s="10"/>
      <c r="U43" s="5"/>
      <c r="V43" s="5"/>
    </row>
    <row r="44" customFormat="false" ht="15" hidden="false" customHeight="false" outlineLevel="0" collapsed="false">
      <c r="A44" s="5"/>
      <c r="B44" s="5"/>
      <c r="C44" s="5"/>
      <c r="D44" s="5"/>
      <c r="E44" s="5"/>
      <c r="F44" s="5"/>
      <c r="G44" s="5"/>
      <c r="H44" s="5"/>
      <c r="I44" s="5"/>
      <c r="J44" s="5"/>
      <c r="K44" s="5"/>
      <c r="L44" s="10"/>
      <c r="M44" s="10"/>
      <c r="N44" s="6" t="str">
        <f aca="true">IF(M44="","",IF(M44&lt;TODAY(),"Expired",IF(M44-TODAY()&lt;=180,"Ending soon","OK")))</f>
        <v/>
      </c>
      <c r="O44" s="5"/>
      <c r="P44" s="5"/>
      <c r="Q44" s="10"/>
      <c r="R44" s="6" t="str">
        <f aca="true">IF(Q44="","",IF(EDATE(Q44,12)&lt;TODAY(),"OVERDUE",IF(EDATE(Q44,12)-TODAY()&lt;=30,"Due soon","Current")))</f>
        <v/>
      </c>
      <c r="S44" s="5"/>
      <c r="T44" s="10"/>
      <c r="U44" s="5"/>
      <c r="V44" s="5"/>
    </row>
    <row r="45" customFormat="false" ht="15" hidden="false" customHeight="false" outlineLevel="0" collapsed="false">
      <c r="A45" s="5"/>
      <c r="B45" s="5"/>
      <c r="C45" s="5"/>
      <c r="D45" s="5"/>
      <c r="E45" s="5"/>
      <c r="F45" s="5"/>
      <c r="G45" s="5"/>
      <c r="H45" s="5"/>
      <c r="I45" s="5"/>
      <c r="J45" s="5"/>
      <c r="K45" s="5"/>
      <c r="L45" s="10"/>
      <c r="M45" s="10"/>
      <c r="N45" s="6" t="str">
        <f aca="true">IF(M45="","",IF(M45&lt;TODAY(),"Expired",IF(M45-TODAY()&lt;=180,"Ending soon","OK")))</f>
        <v/>
      </c>
      <c r="O45" s="5"/>
      <c r="P45" s="5"/>
      <c r="Q45" s="10"/>
      <c r="R45" s="6" t="str">
        <f aca="true">IF(Q45="","",IF(EDATE(Q45,12)&lt;TODAY(),"OVERDUE",IF(EDATE(Q45,12)-TODAY()&lt;=30,"Due soon","Current")))</f>
        <v/>
      </c>
      <c r="S45" s="5"/>
      <c r="T45" s="10"/>
      <c r="U45" s="5"/>
      <c r="V45" s="5"/>
    </row>
    <row r="46" customFormat="false" ht="15" hidden="false" customHeight="false" outlineLevel="0" collapsed="false">
      <c r="A46" s="5"/>
      <c r="B46" s="5"/>
      <c r="C46" s="5"/>
      <c r="D46" s="5"/>
      <c r="E46" s="5"/>
      <c r="F46" s="5"/>
      <c r="G46" s="5"/>
      <c r="H46" s="5"/>
      <c r="I46" s="5"/>
      <c r="J46" s="5"/>
      <c r="K46" s="5"/>
      <c r="L46" s="10"/>
      <c r="M46" s="10"/>
      <c r="N46" s="6" t="str">
        <f aca="true">IF(M46="","",IF(M46&lt;TODAY(),"Expired",IF(M46-TODAY()&lt;=180,"Ending soon","OK")))</f>
        <v/>
      </c>
      <c r="O46" s="5"/>
      <c r="P46" s="5"/>
      <c r="Q46" s="10"/>
      <c r="R46" s="6" t="str">
        <f aca="true">IF(Q46="","",IF(EDATE(Q46,12)&lt;TODAY(),"OVERDUE",IF(EDATE(Q46,12)-TODAY()&lt;=30,"Due soon","Current")))</f>
        <v/>
      </c>
      <c r="S46" s="5"/>
      <c r="T46" s="10"/>
      <c r="U46" s="5"/>
      <c r="V46" s="5"/>
    </row>
    <row r="47" customFormat="false" ht="15" hidden="false" customHeight="false" outlineLevel="0" collapsed="false">
      <c r="A47" s="5"/>
      <c r="B47" s="5"/>
      <c r="C47" s="5"/>
      <c r="D47" s="5"/>
      <c r="E47" s="5"/>
      <c r="F47" s="5"/>
      <c r="G47" s="5"/>
      <c r="H47" s="5"/>
      <c r="I47" s="5"/>
      <c r="J47" s="5"/>
      <c r="K47" s="5"/>
      <c r="L47" s="10"/>
      <c r="M47" s="10"/>
      <c r="N47" s="6" t="str">
        <f aca="true">IF(M47="","",IF(M47&lt;TODAY(),"Expired",IF(M47-TODAY()&lt;=180,"Ending soon","OK")))</f>
        <v/>
      </c>
      <c r="O47" s="5"/>
      <c r="P47" s="5"/>
      <c r="Q47" s="10"/>
      <c r="R47" s="6" t="str">
        <f aca="true">IF(Q47="","",IF(EDATE(Q47,12)&lt;TODAY(),"OVERDUE",IF(EDATE(Q47,12)-TODAY()&lt;=30,"Due soon","Current")))</f>
        <v/>
      </c>
      <c r="S47" s="5"/>
      <c r="T47" s="10"/>
      <c r="U47" s="5"/>
      <c r="V47" s="5"/>
    </row>
    <row r="48" customFormat="false" ht="15" hidden="false" customHeight="false" outlineLevel="0" collapsed="false">
      <c r="A48" s="5"/>
      <c r="B48" s="5"/>
      <c r="C48" s="5"/>
      <c r="D48" s="5"/>
      <c r="E48" s="5"/>
      <c r="F48" s="5"/>
      <c r="G48" s="5"/>
      <c r="H48" s="5"/>
      <c r="I48" s="5"/>
      <c r="J48" s="5"/>
      <c r="K48" s="5"/>
      <c r="L48" s="10"/>
      <c r="M48" s="10"/>
      <c r="N48" s="6" t="str">
        <f aca="true">IF(M48="","",IF(M48&lt;TODAY(),"Expired",IF(M48-TODAY()&lt;=180,"Ending soon","OK")))</f>
        <v/>
      </c>
      <c r="O48" s="5"/>
      <c r="P48" s="5"/>
      <c r="Q48" s="10"/>
      <c r="R48" s="6" t="str">
        <f aca="true">IF(Q48="","",IF(EDATE(Q48,12)&lt;TODAY(),"OVERDUE",IF(EDATE(Q48,12)-TODAY()&lt;=30,"Due soon","Current")))</f>
        <v/>
      </c>
      <c r="S48" s="5"/>
      <c r="T48" s="10"/>
      <c r="U48" s="5"/>
      <c r="V48" s="5"/>
    </row>
    <row r="49" customFormat="false" ht="15" hidden="false" customHeight="false" outlineLevel="0" collapsed="false">
      <c r="A49" s="5"/>
      <c r="B49" s="5"/>
      <c r="C49" s="5"/>
      <c r="D49" s="5"/>
      <c r="E49" s="5"/>
      <c r="F49" s="5"/>
      <c r="G49" s="5"/>
      <c r="H49" s="5"/>
      <c r="I49" s="5"/>
      <c r="J49" s="5"/>
      <c r="K49" s="5"/>
      <c r="L49" s="10"/>
      <c r="M49" s="10"/>
      <c r="N49" s="6" t="str">
        <f aca="true">IF(M49="","",IF(M49&lt;TODAY(),"Expired",IF(M49-TODAY()&lt;=180,"Ending soon","OK")))</f>
        <v/>
      </c>
      <c r="O49" s="5"/>
      <c r="P49" s="5"/>
      <c r="Q49" s="10"/>
      <c r="R49" s="6" t="str">
        <f aca="true">IF(Q49="","",IF(EDATE(Q49,12)&lt;TODAY(),"OVERDUE",IF(EDATE(Q49,12)-TODAY()&lt;=30,"Due soon","Current")))</f>
        <v/>
      </c>
      <c r="S49" s="5"/>
      <c r="T49" s="10"/>
      <c r="U49" s="5"/>
      <c r="V49" s="5"/>
    </row>
    <row r="50" customFormat="false" ht="15" hidden="false" customHeight="false" outlineLevel="0" collapsed="false">
      <c r="A50" s="5"/>
      <c r="B50" s="5"/>
      <c r="C50" s="5"/>
      <c r="D50" s="5"/>
      <c r="E50" s="5"/>
      <c r="F50" s="5"/>
      <c r="G50" s="5"/>
      <c r="H50" s="5"/>
      <c r="I50" s="5"/>
      <c r="J50" s="5"/>
      <c r="K50" s="5"/>
      <c r="L50" s="10"/>
      <c r="M50" s="10"/>
      <c r="N50" s="6" t="str">
        <f aca="true">IF(M50="","",IF(M50&lt;TODAY(),"Expired",IF(M50-TODAY()&lt;=180,"Ending soon","OK")))</f>
        <v/>
      </c>
      <c r="O50" s="5"/>
      <c r="P50" s="5"/>
      <c r="Q50" s="10"/>
      <c r="R50" s="6" t="str">
        <f aca="true">IF(Q50="","",IF(EDATE(Q50,12)&lt;TODAY(),"OVERDUE",IF(EDATE(Q50,12)-TODAY()&lt;=30,"Due soon","Current")))</f>
        <v/>
      </c>
      <c r="S50" s="5"/>
      <c r="T50" s="10"/>
      <c r="U50" s="5"/>
      <c r="V50" s="5"/>
    </row>
    <row r="51" customFormat="false" ht="15" hidden="false" customHeight="false" outlineLevel="0" collapsed="false">
      <c r="A51" s="5"/>
      <c r="B51" s="5"/>
      <c r="C51" s="5"/>
      <c r="D51" s="5"/>
      <c r="E51" s="5"/>
      <c r="F51" s="5"/>
      <c r="G51" s="5"/>
      <c r="H51" s="5"/>
      <c r="I51" s="5"/>
      <c r="J51" s="5"/>
      <c r="K51" s="5"/>
      <c r="L51" s="10"/>
      <c r="M51" s="10"/>
      <c r="N51" s="6" t="str">
        <f aca="true">IF(M51="","",IF(M51&lt;TODAY(),"Expired",IF(M51-TODAY()&lt;=180,"Ending soon","OK")))</f>
        <v/>
      </c>
      <c r="O51" s="5"/>
      <c r="P51" s="5"/>
      <c r="Q51" s="10"/>
      <c r="R51" s="6" t="str">
        <f aca="true">IF(Q51="","",IF(EDATE(Q51,12)&lt;TODAY(),"OVERDUE",IF(EDATE(Q51,12)-TODAY()&lt;=30,"Due soon","Current")))</f>
        <v/>
      </c>
      <c r="S51" s="5"/>
      <c r="T51" s="10"/>
      <c r="U51" s="5"/>
      <c r="V51" s="5"/>
    </row>
    <row r="52" customFormat="false" ht="15" hidden="false" customHeight="false" outlineLevel="0" collapsed="false">
      <c r="A52" s="5"/>
      <c r="B52" s="5"/>
      <c r="C52" s="5"/>
      <c r="D52" s="5"/>
      <c r="E52" s="5"/>
      <c r="F52" s="5"/>
      <c r="G52" s="5"/>
      <c r="H52" s="5"/>
      <c r="I52" s="5"/>
      <c r="J52" s="5"/>
      <c r="K52" s="5"/>
      <c r="L52" s="10"/>
      <c r="M52" s="10"/>
      <c r="N52" s="6" t="str">
        <f aca="true">IF(M52="","",IF(M52&lt;TODAY(),"Expired",IF(M52-TODAY()&lt;=180,"Ending soon","OK")))</f>
        <v/>
      </c>
      <c r="O52" s="5"/>
      <c r="P52" s="5"/>
      <c r="Q52" s="10"/>
      <c r="R52" s="6" t="str">
        <f aca="true">IF(Q52="","",IF(EDATE(Q52,12)&lt;TODAY(),"OVERDUE",IF(EDATE(Q52,12)-TODAY()&lt;=30,"Due soon","Current")))</f>
        <v/>
      </c>
      <c r="S52" s="5"/>
      <c r="T52" s="10"/>
      <c r="U52" s="5"/>
      <c r="V52" s="5"/>
    </row>
    <row r="53" customFormat="false" ht="15" hidden="false" customHeight="false" outlineLevel="0" collapsed="false">
      <c r="A53" s="5"/>
      <c r="B53" s="5"/>
      <c r="C53" s="5"/>
      <c r="D53" s="5"/>
      <c r="E53" s="5"/>
      <c r="F53" s="5"/>
      <c r="G53" s="5"/>
      <c r="H53" s="5"/>
      <c r="I53" s="5"/>
      <c r="J53" s="5"/>
      <c r="K53" s="5"/>
      <c r="L53" s="10"/>
      <c r="M53" s="10"/>
      <c r="N53" s="6" t="str">
        <f aca="true">IF(M53="","",IF(M53&lt;TODAY(),"Expired",IF(M53-TODAY()&lt;=180,"Ending soon","OK")))</f>
        <v/>
      </c>
      <c r="O53" s="5"/>
      <c r="P53" s="5"/>
      <c r="Q53" s="10"/>
      <c r="R53" s="6" t="str">
        <f aca="true">IF(Q53="","",IF(EDATE(Q53,12)&lt;TODAY(),"OVERDUE",IF(EDATE(Q53,12)-TODAY()&lt;=30,"Due soon","Current")))</f>
        <v/>
      </c>
      <c r="S53" s="5"/>
      <c r="T53" s="10"/>
      <c r="U53" s="5"/>
      <c r="V53" s="5"/>
    </row>
    <row r="54" customFormat="false" ht="15" hidden="false" customHeight="false" outlineLevel="0" collapsed="false">
      <c r="A54" s="5"/>
      <c r="B54" s="5"/>
      <c r="C54" s="5"/>
      <c r="D54" s="5"/>
      <c r="E54" s="5"/>
      <c r="F54" s="5"/>
      <c r="G54" s="5"/>
      <c r="H54" s="5"/>
      <c r="I54" s="5"/>
      <c r="J54" s="5"/>
      <c r="K54" s="5"/>
      <c r="L54" s="10"/>
      <c r="M54" s="10"/>
      <c r="N54" s="6" t="str">
        <f aca="true">IF(M54="","",IF(M54&lt;TODAY(),"Expired",IF(M54-TODAY()&lt;=180,"Ending soon","OK")))</f>
        <v/>
      </c>
      <c r="O54" s="5"/>
      <c r="P54" s="5"/>
      <c r="Q54" s="10"/>
      <c r="R54" s="6" t="str">
        <f aca="true">IF(Q54="","",IF(EDATE(Q54,12)&lt;TODAY(),"OVERDUE",IF(EDATE(Q54,12)-TODAY()&lt;=30,"Due soon","Current")))</f>
        <v/>
      </c>
      <c r="S54" s="5"/>
      <c r="T54" s="10"/>
      <c r="U54" s="5"/>
      <c r="V54" s="5"/>
    </row>
    <row r="55" customFormat="false" ht="15" hidden="false" customHeight="false" outlineLevel="0" collapsed="false">
      <c r="A55" s="5"/>
      <c r="B55" s="5"/>
      <c r="C55" s="5"/>
      <c r="D55" s="5"/>
      <c r="E55" s="5"/>
      <c r="F55" s="5"/>
      <c r="G55" s="5"/>
      <c r="H55" s="5"/>
      <c r="I55" s="5"/>
      <c r="J55" s="5"/>
      <c r="K55" s="5"/>
      <c r="L55" s="10"/>
      <c r="M55" s="10"/>
      <c r="N55" s="6" t="str">
        <f aca="true">IF(M55="","",IF(M55&lt;TODAY(),"Expired",IF(M55-TODAY()&lt;=180,"Ending soon","OK")))</f>
        <v/>
      </c>
      <c r="O55" s="5"/>
      <c r="P55" s="5"/>
      <c r="Q55" s="10"/>
      <c r="R55" s="6" t="str">
        <f aca="true">IF(Q55="","",IF(EDATE(Q55,12)&lt;TODAY(),"OVERDUE",IF(EDATE(Q55,12)-TODAY()&lt;=30,"Due soon","Current")))</f>
        <v/>
      </c>
      <c r="S55" s="5"/>
      <c r="T55" s="10"/>
      <c r="U55" s="5"/>
      <c r="V55" s="5"/>
    </row>
    <row r="56" customFormat="false" ht="15" hidden="false" customHeight="false" outlineLevel="0" collapsed="false">
      <c r="A56" s="5"/>
      <c r="B56" s="5"/>
      <c r="C56" s="5"/>
      <c r="D56" s="5"/>
      <c r="E56" s="5"/>
      <c r="F56" s="5"/>
      <c r="G56" s="5"/>
      <c r="H56" s="5"/>
      <c r="I56" s="5"/>
      <c r="J56" s="5"/>
      <c r="K56" s="5"/>
      <c r="L56" s="10"/>
      <c r="M56" s="10"/>
      <c r="N56" s="6" t="str">
        <f aca="true">IF(M56="","",IF(M56&lt;TODAY(),"Expired",IF(M56-TODAY()&lt;=180,"Ending soon","OK")))</f>
        <v/>
      </c>
      <c r="O56" s="5"/>
      <c r="P56" s="5"/>
      <c r="Q56" s="10"/>
      <c r="R56" s="6" t="str">
        <f aca="true">IF(Q56="","",IF(EDATE(Q56,12)&lt;TODAY(),"OVERDUE",IF(EDATE(Q56,12)-TODAY()&lt;=30,"Due soon","Current")))</f>
        <v/>
      </c>
      <c r="S56" s="5"/>
      <c r="T56" s="10"/>
      <c r="U56" s="5"/>
      <c r="V56" s="5"/>
    </row>
    <row r="57" customFormat="false" ht="15" hidden="false" customHeight="false" outlineLevel="0" collapsed="false">
      <c r="A57" s="5"/>
      <c r="B57" s="5"/>
      <c r="C57" s="5"/>
      <c r="D57" s="5"/>
      <c r="E57" s="5"/>
      <c r="F57" s="5"/>
      <c r="G57" s="5"/>
      <c r="H57" s="5"/>
      <c r="I57" s="5"/>
      <c r="J57" s="5"/>
      <c r="K57" s="5"/>
      <c r="L57" s="10"/>
      <c r="M57" s="10"/>
      <c r="N57" s="6" t="str">
        <f aca="true">IF(M57="","",IF(M57&lt;TODAY(),"Expired",IF(M57-TODAY()&lt;=180,"Ending soon","OK")))</f>
        <v/>
      </c>
      <c r="O57" s="5"/>
      <c r="P57" s="5"/>
      <c r="Q57" s="10"/>
      <c r="R57" s="6" t="str">
        <f aca="true">IF(Q57="","",IF(EDATE(Q57,12)&lt;TODAY(),"OVERDUE",IF(EDATE(Q57,12)-TODAY()&lt;=30,"Due soon","Current")))</f>
        <v/>
      </c>
      <c r="S57" s="5"/>
      <c r="T57" s="10"/>
      <c r="U57" s="5"/>
      <c r="V57" s="5"/>
    </row>
    <row r="58" customFormat="false" ht="15" hidden="false" customHeight="false" outlineLevel="0" collapsed="false">
      <c r="A58" s="5"/>
      <c r="B58" s="5"/>
      <c r="C58" s="5"/>
      <c r="D58" s="5"/>
      <c r="E58" s="5"/>
      <c r="F58" s="5"/>
      <c r="G58" s="5"/>
      <c r="H58" s="5"/>
      <c r="I58" s="5"/>
      <c r="J58" s="5"/>
      <c r="K58" s="5"/>
      <c r="L58" s="10"/>
      <c r="M58" s="10"/>
      <c r="N58" s="6" t="str">
        <f aca="true">IF(M58="","",IF(M58&lt;TODAY(),"Expired",IF(M58-TODAY()&lt;=180,"Ending soon","OK")))</f>
        <v/>
      </c>
      <c r="O58" s="5"/>
      <c r="P58" s="5"/>
      <c r="Q58" s="10"/>
      <c r="R58" s="6" t="str">
        <f aca="true">IF(Q58="","",IF(EDATE(Q58,12)&lt;TODAY(),"OVERDUE",IF(EDATE(Q58,12)-TODAY()&lt;=30,"Due soon","Current")))</f>
        <v/>
      </c>
      <c r="S58" s="5"/>
      <c r="T58" s="10"/>
      <c r="U58" s="5"/>
      <c r="V58" s="5"/>
    </row>
    <row r="59" customFormat="false" ht="15" hidden="false" customHeight="false" outlineLevel="0" collapsed="false">
      <c r="A59" s="5"/>
      <c r="B59" s="5"/>
      <c r="C59" s="5"/>
      <c r="D59" s="5"/>
      <c r="E59" s="5"/>
      <c r="F59" s="5"/>
      <c r="G59" s="5"/>
      <c r="H59" s="5"/>
      <c r="I59" s="5"/>
      <c r="J59" s="5"/>
      <c r="K59" s="5"/>
      <c r="L59" s="10"/>
      <c r="M59" s="10"/>
      <c r="N59" s="6" t="str">
        <f aca="true">IF(M59="","",IF(M59&lt;TODAY(),"Expired",IF(M59-TODAY()&lt;=180,"Ending soon","OK")))</f>
        <v/>
      </c>
      <c r="O59" s="5"/>
      <c r="P59" s="5"/>
      <c r="Q59" s="10"/>
      <c r="R59" s="6" t="str">
        <f aca="true">IF(Q59="","",IF(EDATE(Q59,12)&lt;TODAY(),"OVERDUE",IF(EDATE(Q59,12)-TODAY()&lt;=30,"Due soon","Current")))</f>
        <v/>
      </c>
      <c r="S59" s="5"/>
      <c r="T59" s="10"/>
      <c r="U59" s="5"/>
      <c r="V59" s="5"/>
    </row>
    <row r="60" customFormat="false" ht="15" hidden="false" customHeight="false" outlineLevel="0" collapsed="false">
      <c r="A60" s="5"/>
      <c r="B60" s="5"/>
      <c r="C60" s="5"/>
      <c r="D60" s="5"/>
      <c r="E60" s="5"/>
      <c r="F60" s="5"/>
      <c r="G60" s="5"/>
      <c r="H60" s="5"/>
      <c r="I60" s="5"/>
      <c r="J60" s="5"/>
      <c r="K60" s="5"/>
      <c r="L60" s="10"/>
      <c r="M60" s="10"/>
      <c r="N60" s="6" t="str">
        <f aca="true">IF(M60="","",IF(M60&lt;TODAY(),"Expired",IF(M60-TODAY()&lt;=180,"Ending soon","OK")))</f>
        <v/>
      </c>
      <c r="O60" s="5"/>
      <c r="P60" s="5"/>
      <c r="Q60" s="10"/>
      <c r="R60" s="6" t="str">
        <f aca="true">IF(Q60="","",IF(EDATE(Q60,12)&lt;TODAY(),"OVERDUE",IF(EDATE(Q60,12)-TODAY()&lt;=30,"Due soon","Current")))</f>
        <v/>
      </c>
      <c r="S60" s="5"/>
      <c r="T60" s="10"/>
      <c r="U60" s="5"/>
      <c r="V60" s="5"/>
    </row>
    <row r="61" customFormat="false" ht="15" hidden="false" customHeight="false" outlineLevel="0" collapsed="false">
      <c r="A61" s="5"/>
      <c r="B61" s="5"/>
      <c r="C61" s="5"/>
      <c r="D61" s="5"/>
      <c r="E61" s="5"/>
      <c r="F61" s="5"/>
      <c r="G61" s="5"/>
      <c r="H61" s="5"/>
      <c r="I61" s="5"/>
      <c r="J61" s="5"/>
      <c r="K61" s="5"/>
      <c r="L61" s="10"/>
      <c r="M61" s="10"/>
      <c r="N61" s="6" t="str">
        <f aca="true">IF(M61="","",IF(M61&lt;TODAY(),"Expired",IF(M61-TODAY()&lt;=180,"Ending soon","OK")))</f>
        <v/>
      </c>
      <c r="O61" s="5"/>
      <c r="P61" s="5"/>
      <c r="Q61" s="10"/>
      <c r="R61" s="6" t="str">
        <f aca="true">IF(Q61="","",IF(EDATE(Q61,12)&lt;TODAY(),"OVERDUE",IF(EDATE(Q61,12)-TODAY()&lt;=30,"Due soon","Current")))</f>
        <v/>
      </c>
      <c r="S61" s="5"/>
      <c r="T61" s="10"/>
      <c r="U61" s="5"/>
      <c r="V61" s="5"/>
    </row>
    <row r="62" customFormat="false" ht="15" hidden="false" customHeight="false" outlineLevel="0" collapsed="false">
      <c r="A62" s="5"/>
      <c r="B62" s="5"/>
      <c r="C62" s="5"/>
      <c r="D62" s="5"/>
      <c r="E62" s="5"/>
      <c r="F62" s="5"/>
      <c r="G62" s="5"/>
      <c r="H62" s="5"/>
      <c r="I62" s="5"/>
      <c r="J62" s="5"/>
      <c r="K62" s="5"/>
      <c r="L62" s="10"/>
      <c r="M62" s="10"/>
      <c r="N62" s="6" t="str">
        <f aca="true">IF(M62="","",IF(M62&lt;TODAY(),"Expired",IF(M62-TODAY()&lt;=180,"Ending soon","OK")))</f>
        <v/>
      </c>
      <c r="O62" s="5"/>
      <c r="P62" s="5"/>
      <c r="Q62" s="10"/>
      <c r="R62" s="6" t="str">
        <f aca="true">IF(Q62="","",IF(EDATE(Q62,12)&lt;TODAY(),"OVERDUE",IF(EDATE(Q62,12)-TODAY()&lt;=30,"Due soon","Current")))</f>
        <v/>
      </c>
      <c r="S62" s="5"/>
      <c r="T62" s="10"/>
      <c r="U62" s="5"/>
      <c r="V62" s="5"/>
    </row>
    <row r="63" customFormat="false" ht="15" hidden="false" customHeight="false" outlineLevel="0" collapsed="false">
      <c r="A63" s="5"/>
      <c r="B63" s="5"/>
      <c r="C63" s="5"/>
      <c r="D63" s="5"/>
      <c r="E63" s="5"/>
      <c r="F63" s="5"/>
      <c r="G63" s="5"/>
      <c r="H63" s="5"/>
      <c r="I63" s="5"/>
      <c r="J63" s="5"/>
      <c r="K63" s="5"/>
      <c r="L63" s="10"/>
      <c r="M63" s="10"/>
      <c r="N63" s="6" t="str">
        <f aca="true">IF(M63="","",IF(M63&lt;TODAY(),"Expired",IF(M63-TODAY()&lt;=180,"Ending soon","OK")))</f>
        <v/>
      </c>
      <c r="O63" s="5"/>
      <c r="P63" s="5"/>
      <c r="Q63" s="10"/>
      <c r="R63" s="6" t="str">
        <f aca="true">IF(Q63="","",IF(EDATE(Q63,12)&lt;TODAY(),"OVERDUE",IF(EDATE(Q63,12)-TODAY()&lt;=30,"Due soon","Current")))</f>
        <v/>
      </c>
      <c r="S63" s="5"/>
      <c r="T63" s="10"/>
      <c r="U63" s="5"/>
      <c r="V63" s="5"/>
    </row>
    <row r="64" customFormat="false" ht="15" hidden="false" customHeight="false" outlineLevel="0" collapsed="false">
      <c r="A64" s="5"/>
      <c r="B64" s="5"/>
      <c r="C64" s="5"/>
      <c r="D64" s="5"/>
      <c r="E64" s="5"/>
      <c r="F64" s="5"/>
      <c r="G64" s="5"/>
      <c r="H64" s="5"/>
      <c r="I64" s="5"/>
      <c r="J64" s="5"/>
      <c r="K64" s="5"/>
      <c r="L64" s="10"/>
      <c r="M64" s="10"/>
      <c r="N64" s="6" t="str">
        <f aca="true">IF(M64="","",IF(M64&lt;TODAY(),"Expired",IF(M64-TODAY()&lt;=180,"Ending soon","OK")))</f>
        <v/>
      </c>
      <c r="O64" s="5"/>
      <c r="P64" s="5"/>
      <c r="Q64" s="10"/>
      <c r="R64" s="6" t="str">
        <f aca="true">IF(Q64="","",IF(EDATE(Q64,12)&lt;TODAY(),"OVERDUE",IF(EDATE(Q64,12)-TODAY()&lt;=30,"Due soon","Current")))</f>
        <v/>
      </c>
      <c r="S64" s="5"/>
      <c r="T64" s="10"/>
      <c r="U64" s="5"/>
      <c r="V64" s="5"/>
    </row>
  </sheetData>
  <autoFilter ref="A4:V64"/>
  <conditionalFormatting sqref="R5:R64">
    <cfRule type="expression" priority="2" aboveAverage="0" equalAverage="0" bottom="0" percent="0" rank="0" text="" dxfId="7">
      <formula>R5="Green"</formula>
    </cfRule>
    <cfRule type="expression" priority="3" aboveAverage="0" equalAverage="0" bottom="0" percent="0" rank="0" text="" dxfId="8">
      <formula>R5="Amber"</formula>
    </cfRule>
    <cfRule type="expression" priority="4" aboveAverage="0" equalAverage="0" bottom="0" percent="0" rank="0" text="" dxfId="9">
      <formula>R5="Red"</formula>
    </cfRule>
    <cfRule type="expression" priority="5" aboveAverage="0" equalAverage="0" bottom="0" percent="0" rank="0" text="" dxfId="9">
      <formula>R5="OVERDUE"</formula>
    </cfRule>
    <cfRule type="expression" priority="6" aboveAverage="0" equalAverage="0" bottom="0" percent="0" rank="0" text="" dxfId="8">
      <formula>R5="Due soon"</formula>
    </cfRule>
  </conditionalFormatting>
  <conditionalFormatting sqref="N5:N64">
    <cfRule type="expression" priority="7" aboveAverage="0" equalAverage="0" bottom="0" percent="0" rank="0" text="" dxfId="7">
      <formula>N5="Green"</formula>
    </cfRule>
    <cfRule type="expression" priority="8" aboveAverage="0" equalAverage="0" bottom="0" percent="0" rank="0" text="" dxfId="8">
      <formula>N5="Amber"</formula>
    </cfRule>
    <cfRule type="expression" priority="9" aboveAverage="0" equalAverage="0" bottom="0" percent="0" rank="0" text="" dxfId="9">
      <formula>N5="Red"</formula>
    </cfRule>
    <cfRule type="expression" priority="10" aboveAverage="0" equalAverage="0" bottom="0" percent="0" rank="0" text="" dxfId="9">
      <formula>N5="OVERDUE"</formula>
    </cfRule>
    <cfRule type="expression" priority="11" aboveAverage="0" equalAverage="0" bottom="0" percent="0" rank="0" text="" dxfId="8">
      <formula>N5="Due soon"</formula>
    </cfRule>
  </conditionalFormatting>
  <dataValidations count="6">
    <dataValidation allowBlank="true" error="Please choose a value from the drop-down list." errorStyle="stop" operator="between" showDropDown="false" showErrorMessage="true" showInputMessage="false" sqref="D5:D64" type="list">
      <formula1>Lists!$A$5:$A$7</formula1>
      <formula2>0</formula2>
    </dataValidation>
    <dataValidation allowBlank="true" error="Please choose a value from the drop-down list." errorStyle="stop" operator="between" showDropDown="false" showErrorMessage="true" showInputMessage="false" sqref="E5:E64" type="list">
      <formula1>Lists!$B$5:$B$17</formula1>
      <formula2>0</formula2>
    </dataValidation>
    <dataValidation allowBlank="true" error="Please choose a value from the drop-down list." errorStyle="stop" operator="between" showDropDown="false" showErrorMessage="true" showInputMessage="false" sqref="J5:J64" type="list">
      <formula1>Lists!$A$5:$A$7</formula1>
      <formula2>0</formula2>
    </dataValidation>
    <dataValidation allowBlank="true" error="Please choose a value from the drop-down list." errorStyle="stop" operator="between" showDropDown="false" showErrorMessage="true" showInputMessage="false" sqref="O5:O64" type="list">
      <formula1>Lists!$A$5:$A$7</formula1>
      <formula2>0</formula2>
    </dataValidation>
    <dataValidation allowBlank="true" error="Please choose a value from the drop-down list." errorStyle="stop" operator="between" showDropDown="false" showErrorMessage="true" showInputMessage="false" sqref="P5:P64" type="list">
      <formula1>Lists!$A$5:$A$7</formula1>
      <formula2>0</formula2>
    </dataValidation>
    <dataValidation allowBlank="true" error="Please choose a value from the drop-down list." errorStyle="stop" operator="between" showDropDown="false" showErrorMessage="true" showInputMessage="false" sqref="S5:S64" type="list">
      <formula1>Lists!$C$5:$C$7</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B2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48"/>
    <col collapsed="false" customWidth="true" hidden="false" outlineLevel="0" max="2" min="2" style="0" width="16"/>
  </cols>
  <sheetData>
    <row r="1" customFormat="false" ht="25.5" hidden="false" customHeight="true" outlineLevel="0" collapsed="false">
      <c r="A1" s="1" t="s">
        <v>55</v>
      </c>
    </row>
    <row r="2" customFormat="false" ht="15" hidden="false" customHeight="false" outlineLevel="0" collapsed="false">
      <c r="A2" s="2" t="s">
        <v>56</v>
      </c>
    </row>
    <row r="4" customFormat="false" ht="31.5" hidden="false" customHeight="true" outlineLevel="0" collapsed="false">
      <c r="A4" s="8" t="s">
        <v>57</v>
      </c>
      <c r="B4" s="8" t="s">
        <v>58</v>
      </c>
    </row>
    <row r="5" customFormat="false" ht="15" hidden="false" customHeight="false" outlineLevel="0" collapsed="false">
      <c r="A5" s="11" t="s">
        <v>59</v>
      </c>
      <c r="B5" s="12" t="n">
        <f aca="false">COUNTA('MSP register'!$A$5:$A$64)</f>
        <v>1</v>
      </c>
    </row>
    <row r="6" customFormat="false" ht="15" hidden="false" customHeight="false" outlineLevel="0" collapsed="false">
      <c r="A6" s="11" t="s">
        <v>60</v>
      </c>
      <c r="B6" s="12" t="n">
        <f aca="false">COUNTIF('MSP register'!$J$5:$J$64,"Yes")</f>
        <v>1</v>
      </c>
    </row>
    <row r="7" customFormat="false" ht="15" hidden="false" customHeight="false" outlineLevel="0" collapsed="false">
      <c r="A7" s="11" t="s">
        <v>61</v>
      </c>
      <c r="B7" s="12" t="n">
        <f aca="false">COUNTIF('MSP register'!$N$5:$N$64,"Ending soon")</f>
        <v>0</v>
      </c>
    </row>
    <row r="8" customFormat="false" ht="15" hidden="false" customHeight="false" outlineLevel="0" collapsed="false">
      <c r="A8" s="11" t="s">
        <v>62</v>
      </c>
      <c r="B8" s="12" t="n">
        <f aca="false">COUNTIF('MSP register'!$R$5:$R$64,"OVERDUE")</f>
        <v>1</v>
      </c>
    </row>
    <row r="9" customFormat="false" ht="15" hidden="false" customHeight="false" outlineLevel="0" collapsed="false">
      <c r="A9" s="11" t="s">
        <v>63</v>
      </c>
      <c r="B9" s="12" t="n">
        <f aca="false">COUNTIF('MSP register'!$O$5:$O$64,"No")</f>
        <v>0</v>
      </c>
    </row>
    <row r="10" customFormat="false" ht="15" hidden="false" customHeight="false" outlineLevel="0" collapsed="false">
      <c r="A10" s="11" t="s">
        <v>64</v>
      </c>
      <c r="B10" s="12" t="n">
        <f aca="false">COUNTIF('MSP register'!$P$5:$P$64,"No")</f>
        <v>0</v>
      </c>
    </row>
    <row r="11" customFormat="false" ht="15" hidden="false" customHeight="false" outlineLevel="0" collapsed="false">
      <c r="A11" s="11" t="s">
        <v>65</v>
      </c>
      <c r="B11" s="12" t="n">
        <f aca="false">COUNTIF('MSP register'!$S$5:$S$64,"Serious concerns")</f>
        <v>0</v>
      </c>
    </row>
    <row r="13" customFormat="false" ht="31.5" hidden="false" customHeight="true" outlineLevel="0" collapsed="false">
      <c r="A13" s="8" t="s">
        <v>66</v>
      </c>
      <c r="B13" s="8" t="s">
        <v>67</v>
      </c>
    </row>
    <row r="14" customFormat="false" ht="15" hidden="false" customHeight="false" outlineLevel="0" collapsed="false">
      <c r="A14" s="11" t="s">
        <v>68</v>
      </c>
      <c r="B14" s="12" t="n">
        <f aca="false">COUNTIF('MSP register'!$E$5:$E$64,A14)</f>
        <v>0</v>
      </c>
    </row>
    <row r="15" customFormat="false" ht="15" hidden="false" customHeight="false" outlineLevel="0" collapsed="false">
      <c r="A15" s="11" t="s">
        <v>69</v>
      </c>
      <c r="B15" s="12" t="n">
        <f aca="false">COUNTIF('MSP register'!$E$5:$E$64,A15)</f>
        <v>0</v>
      </c>
    </row>
    <row r="16" customFormat="false" ht="15" hidden="false" customHeight="false" outlineLevel="0" collapsed="false">
      <c r="A16" s="11" t="s">
        <v>45</v>
      </c>
      <c r="B16" s="12" t="n">
        <f aca="false">COUNTIF('MSP register'!$E$5:$E$64,A16)</f>
        <v>1</v>
      </c>
    </row>
    <row r="17" customFormat="false" ht="15" hidden="false" customHeight="false" outlineLevel="0" collapsed="false">
      <c r="A17" s="11" t="s">
        <v>70</v>
      </c>
      <c r="B17" s="12" t="n">
        <f aca="false">COUNTIF('MSP register'!$E$5:$E$64,A17)</f>
        <v>0</v>
      </c>
    </row>
    <row r="18" customFormat="false" ht="15" hidden="false" customHeight="false" outlineLevel="0" collapsed="false">
      <c r="A18" s="11" t="s">
        <v>71</v>
      </c>
      <c r="B18" s="12" t="n">
        <f aca="false">COUNTIF('MSP register'!$E$5:$E$64,A18)</f>
        <v>0</v>
      </c>
    </row>
    <row r="19" customFormat="false" ht="15" hidden="false" customHeight="false" outlineLevel="0" collapsed="false">
      <c r="A19" s="11" t="s">
        <v>72</v>
      </c>
      <c r="B19" s="12" t="n">
        <f aca="false">COUNTIF('MSP register'!$E$5:$E$64,A19)</f>
        <v>0</v>
      </c>
    </row>
    <row r="20" customFormat="false" ht="15" hidden="false" customHeight="false" outlineLevel="0" collapsed="false">
      <c r="A20" s="11" t="s">
        <v>73</v>
      </c>
      <c r="B20" s="12" t="n">
        <f aca="false">COUNTIF('MSP register'!$E$5:$E$64,A20)</f>
        <v>0</v>
      </c>
    </row>
    <row r="21" customFormat="false" ht="15" hidden="false" customHeight="false" outlineLevel="0" collapsed="false">
      <c r="A21" s="11" t="s">
        <v>74</v>
      </c>
      <c r="B21" s="12" t="n">
        <f aca="false">COUNTIF('MSP register'!$E$5:$E$64,A21)</f>
        <v>0</v>
      </c>
    </row>
    <row r="22" customFormat="false" ht="15" hidden="false" customHeight="false" outlineLevel="0" collapsed="false">
      <c r="A22" s="11" t="s">
        <v>75</v>
      </c>
      <c r="B22" s="12" t="n">
        <f aca="false">COUNTIF('MSP register'!$E$5:$E$64,A22)</f>
        <v>0</v>
      </c>
    </row>
    <row r="23" customFormat="false" ht="15" hidden="false" customHeight="false" outlineLevel="0" collapsed="false">
      <c r="A23" s="11" t="s">
        <v>76</v>
      </c>
      <c r="B23" s="12" t="n">
        <f aca="false">COUNTIF('MSP register'!$E$5:$E$64,A23)</f>
        <v>0</v>
      </c>
    </row>
    <row r="24" customFormat="false" ht="15" hidden="false" customHeight="false" outlineLevel="0" collapsed="false">
      <c r="A24" s="11" t="s">
        <v>77</v>
      </c>
      <c r="B24" s="12" t="n">
        <f aca="false">COUNTIF('MSP register'!$E$5:$E$64,A24)</f>
        <v>0</v>
      </c>
    </row>
    <row r="25" customFormat="false" ht="15" hidden="false" customHeight="false" outlineLevel="0" collapsed="false">
      <c r="A25" s="11" t="s">
        <v>78</v>
      </c>
      <c r="B25" s="12" t="n">
        <f aca="false">COUNTIF('MSP register'!$E$5:$E$64,A25)</f>
        <v>0</v>
      </c>
    </row>
    <row r="26" customFormat="false" ht="15" hidden="false" customHeight="false" outlineLevel="0" collapsed="false">
      <c r="A26" s="11" t="s">
        <v>79</v>
      </c>
      <c r="B26" s="12" t="n">
        <f aca="false">COUNTIF('MSP register'!$E$5:$E$64,A26)</f>
        <v>0</v>
      </c>
    </row>
  </sheetData>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C1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3" min="1" style="0" width="28"/>
  </cols>
  <sheetData>
    <row r="1" customFormat="false" ht="25.5" hidden="false" customHeight="true" outlineLevel="0" collapsed="false">
      <c r="A1" s="1" t="s">
        <v>80</v>
      </c>
    </row>
    <row r="2" customFormat="false" ht="15" hidden="false" customHeight="false" outlineLevel="0" collapsed="false">
      <c r="A2" s="2" t="s">
        <v>81</v>
      </c>
    </row>
    <row r="4" customFormat="false" ht="15" hidden="false" customHeight="false" outlineLevel="0" collapsed="false">
      <c r="A4" s="13" t="s">
        <v>82</v>
      </c>
      <c r="B4" s="13" t="s">
        <v>23</v>
      </c>
      <c r="C4" s="13" t="s">
        <v>37</v>
      </c>
    </row>
    <row r="5" customFormat="false" ht="15" hidden="false" customHeight="false" outlineLevel="0" collapsed="false">
      <c r="A5" s="5" t="s">
        <v>50</v>
      </c>
      <c r="B5" s="5" t="s">
        <v>68</v>
      </c>
      <c r="C5" s="5" t="s">
        <v>83</v>
      </c>
    </row>
    <row r="6" customFormat="false" ht="15" hidden="false" customHeight="false" outlineLevel="0" collapsed="false">
      <c r="A6" s="5" t="s">
        <v>44</v>
      </c>
      <c r="B6" s="5" t="s">
        <v>69</v>
      </c>
      <c r="C6" s="5" t="s">
        <v>52</v>
      </c>
    </row>
    <row r="7" customFormat="false" ht="15" hidden="false" customHeight="false" outlineLevel="0" collapsed="false">
      <c r="A7" s="5" t="s">
        <v>84</v>
      </c>
      <c r="B7" s="5" t="s">
        <v>45</v>
      </c>
      <c r="C7" s="5" t="s">
        <v>85</v>
      </c>
    </row>
    <row r="8" customFormat="false" ht="15" hidden="false" customHeight="false" outlineLevel="0" collapsed="false">
      <c r="B8" s="5" t="s">
        <v>70</v>
      </c>
    </row>
    <row r="9" customFormat="false" ht="15" hidden="false" customHeight="false" outlineLevel="0" collapsed="false">
      <c r="B9" s="5" t="s">
        <v>71</v>
      </c>
    </row>
    <row r="10" customFormat="false" ht="15" hidden="false" customHeight="false" outlineLevel="0" collapsed="false">
      <c r="B10" s="5" t="s">
        <v>72</v>
      </c>
    </row>
    <row r="11" customFormat="false" ht="15" hidden="false" customHeight="false" outlineLevel="0" collapsed="false">
      <c r="B11" s="5" t="s">
        <v>73</v>
      </c>
    </row>
    <row r="12" customFormat="false" ht="15" hidden="false" customHeight="false" outlineLevel="0" collapsed="false">
      <c r="B12" s="5" t="s">
        <v>74</v>
      </c>
    </row>
    <row r="13" customFormat="false" ht="15" hidden="false" customHeight="false" outlineLevel="0" collapsed="false">
      <c r="B13" s="5" t="s">
        <v>75</v>
      </c>
    </row>
    <row r="14" customFormat="false" ht="15" hidden="false" customHeight="false" outlineLevel="0" collapsed="false">
      <c r="B14" s="5" t="s">
        <v>76</v>
      </c>
    </row>
    <row r="15" customFormat="false" ht="15" hidden="false" customHeight="false" outlineLevel="0" collapsed="false">
      <c r="B15" s="5" t="s">
        <v>77</v>
      </c>
    </row>
    <row r="16" customFormat="false" ht="15" hidden="false" customHeight="false" outlineLevel="0" collapsed="false">
      <c r="B16" s="5" t="s">
        <v>78</v>
      </c>
    </row>
    <row r="17" customFormat="false" ht="15" hidden="false" customHeight="false" outlineLevel="0" collapsed="false">
      <c r="B17" s="5" t="s">
        <v>79</v>
      </c>
    </row>
  </sheetData>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2026-09-28T05:53:10Z</dcterms:created>
  <dc:creator>openpyxl</dc:creator>
  <dc:description/>
  <dc:language>en-US</dc:language>
  <cp:lastModifiedBy/>
  <dcterms:modified xsi:type="dcterms:W3CDTF">2026-09-28T05:53:10Z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