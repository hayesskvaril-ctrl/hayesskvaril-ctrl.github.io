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Remediation tracker" sheetId="2" state="visible" r:id="rId4"/>
    <sheet name="Dashboard" sheetId="3" state="visible" r:id="rId5"/>
    <sheet name="Lists" sheetId="4" state="visible" r:id="rId6"/>
  </sheets>
  <definedNames>
    <definedName function="false" hidden="true" localSheetId="1" name="_xlnm._FilterDatabase" vbProcedure="false">'Remediation tracker'!$A$4:$W$44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<sst xmlns="http://schemas.openxmlformats.org/spreadsheetml/2006/main" count="93" uniqueCount="77">
  <si>
    <t xml:space="preserve">Remediation program tracker</t>
  </si>
  <si>
    <t xml:space="preserve">RiskLens Australia · free template · version 1.0 (September 2026)</t>
  </si>
  <si>
    <t xml:space="preserve">What this is</t>
  </si>
  <si>
    <t xml:space="preserve">A tracker for customer remediation programs, from identifying the affected population to paying compensation, handling residual amounts and closing the program. Background: https://hayesskvaril-ctrl.github.io/standards/asic-rg-277.html</t>
  </si>
  <si>
    <t xml:space="preserve">How to use it</t>
  </si>
  <si>
    <t xml:space="preserve">1. Create one row per remediation program and link it to the breach or incident.
2. Record the affected population, the period, the method and beneficial assumptions used.
3. Update numbers paid and amounts paid as the program progresses. Percentages and alerts calculate automatically.
4. Record how residual (unclaimed) amounts will be handled, assurance over calculations and payments, and whether the root cause is fixed.</t>
  </si>
  <si>
    <t xml:space="preserve">RG 277</t>
  </si>
  <si>
    <t xml:space="preserve">ASIC's RG 277 expects remediation to be fair, timely and efficient, with beneficial assumptions where data is missing, compensation for the time value of money, reasonable endeavours to return money, and specific options for residual amounts. Check RG 277 for the details.</t>
  </si>
  <si>
    <t xml:space="preserve">Worked example</t>
  </si>
  <si>
    <t xml:space="preserve">The example row is fictional and follows the fee error case used on the RiskLens breach significance page.</t>
  </si>
  <si>
    <t xml:space="preserve">Colour key</t>
  </si>
  <si>
    <t xml:space="preserve">Pale yellow cells: fill these in (many have drop-down lists).
Grey-blue cells: calculated automatically; don't type over them.
Green rows: worked examples. Replace or delete them.</t>
  </si>
  <si>
    <t xml:space="preserve">Important</t>
  </si>
  <si>
    <t xml:space="preserve">RiskLens Australia provides general educational information only. It is not legal, financial or compliance advice and does not take into account your circumstances. Always refer to the official legislation and regulator guidance, and seek professional advice where appropriate.</t>
  </si>
  <si>
    <t xml:space="preserve">Fill in</t>
  </si>
  <si>
    <t xml:space="preserve">Calculated</t>
  </si>
  <si>
    <t xml:space="preserve">Example</t>
  </si>
  <si>
    <t xml:space="preserve">Remediation tracker</t>
  </si>
  <si>
    <t xml:space="preserve">Fill in the yellow cells. Grey-blue cells calculate automatically.</t>
  </si>
  <si>
    <t xml:space="preserve">Program ID</t>
  </si>
  <si>
    <t xml:space="preserve">Linked breach or incident</t>
  </si>
  <si>
    <t xml:space="preserve">Issue description</t>
  </si>
  <si>
    <t xml:space="preserve">Date identified</t>
  </si>
  <si>
    <t xml:space="preserve">Period affected</t>
  </si>
  <si>
    <t xml:space="preserve">Customers affected</t>
  </si>
  <si>
    <t xml:space="preserve">Method and beneficial assumptions</t>
  </si>
  <si>
    <t xml:space="preserve">Estimated compensation incl. interest ($)</t>
  </si>
  <si>
    <t xml:space="preserve">Customers paid</t>
  </si>
  <si>
    <t xml:space="preserve">Amount paid ($)</t>
  </si>
  <si>
    <t xml:space="preserve">% customers paid</t>
  </si>
  <si>
    <t xml:space="preserve">% of compensation paid</t>
  </si>
  <si>
    <t xml:space="preserve">Customers not yet paid</t>
  </si>
  <si>
    <t xml:space="preserve">Residual approach</t>
  </si>
  <si>
    <t xml:space="preserve">Status</t>
  </si>
  <si>
    <t xml:space="preserve">Target completion</t>
  </si>
  <si>
    <t xml:space="preserve">Days open</t>
  </si>
  <si>
    <t xml:space="preserve">Overdue?</t>
  </si>
  <si>
    <t xml:space="preserve">Regulator notified?</t>
  </si>
  <si>
    <t xml:space="preserve">Date closed</t>
  </si>
  <si>
    <t xml:space="preserve">Assurance over calculations and payments?</t>
  </si>
  <si>
    <t xml:space="preserve">Root cause fixed?</t>
  </si>
  <si>
    <t xml:space="preserve">Program owner</t>
  </si>
  <si>
    <t xml:space="preserve">REM-01</t>
  </si>
  <si>
    <t xml:space="preserve">BR-2026-014</t>
  </si>
  <si>
    <t xml:space="preserve">Administration fee rate 0.05% higher than PDS rate for 8 months after a system change.</t>
  </si>
  <si>
    <t xml:space="preserve">Sep 2025 to Apr 2026</t>
  </si>
  <si>
    <t xml:space="preserve">Recalculate fees at PDS rate for each member; add fund earnings on the overcharge; where transaction data is incomplete, assume the member was charged for the full period.</t>
  </si>
  <si>
    <t xml:space="preserve">Not yet decided</t>
  </si>
  <si>
    <t xml:space="preserve">Paying</t>
  </si>
  <si>
    <t xml:space="preserve">Yes</t>
  </si>
  <si>
    <t xml:space="preserve">In progress</t>
  </si>
  <si>
    <t xml:space="preserve">Head of Member Services</t>
  </si>
  <si>
    <t xml:space="preserve">Dashboard</t>
  </si>
  <si>
    <t xml:space="preserve">Updates automatically from the register.</t>
  </si>
  <si>
    <t xml:space="preserve">Measure</t>
  </si>
  <si>
    <t xml:space="preserve">Value</t>
  </si>
  <si>
    <t xml:space="preserve">Programs recorded</t>
  </si>
  <si>
    <t xml:space="preserve">Open programs</t>
  </si>
  <si>
    <t xml:space="preserve">Programs overdue</t>
  </si>
  <si>
    <t xml:space="preserve">Estimated compensation ($)</t>
  </si>
  <si>
    <t xml:space="preserve">Root cause not yet fixed</t>
  </si>
  <si>
    <t xml:space="preserve">Programs by status</t>
  </si>
  <si>
    <t xml:space="preserve">Count</t>
  </si>
  <si>
    <t xml:space="preserve">Scoping</t>
  </si>
  <si>
    <t xml:space="preserve">Calculating</t>
  </si>
  <si>
    <t xml:space="preserve">Approved</t>
  </si>
  <si>
    <t xml:space="preserve">Residual handling</t>
  </si>
  <si>
    <t xml:space="preserve">Closed</t>
  </si>
  <si>
    <t xml:space="preserve">Drop-down lists</t>
  </si>
  <si>
    <t xml:space="preserve">Edit these values to suit your organisation. The drop-downs read from this tab.</t>
  </si>
  <si>
    <t xml:space="preserve">Yes / No</t>
  </si>
  <si>
    <t xml:space="preserve">No</t>
  </si>
  <si>
    <t xml:space="preserve">Lodge as unclaimed money (ASIC, or ATO for super)</t>
  </si>
  <si>
    <t xml:space="preserve">Pay to charity or not-for-profit (where permitted)</t>
  </si>
  <si>
    <t xml:space="preserve">N/A</t>
  </si>
  <si>
    <t xml:space="preserve">Other (document basis)</t>
  </si>
  <si>
    <t xml:space="preserve">Not applicable</t>
  </si>
</sst>
</file>

<file path=xl/styles.xml><?xml version="1.0" encoding="utf-8"?>
<styleSheet xmlns="http://schemas.openxmlformats.org/spreadsheetml/2006/main">
  <numFmts count="6">
    <numFmt numFmtId="164" formatCode="General"/>
    <numFmt numFmtId="165" formatCode="dd/mm/yyyy"/>
    <numFmt numFmtId="166" formatCode="#,##0"/>
    <numFmt numFmtId="167" formatCode="\$#,##0"/>
    <numFmt numFmtId="168" formatCode="0%"/>
    <numFmt numFmtId="169"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0F2942"/>
      <name val="Arial"/>
      <family val="0"/>
      <charset val="1"/>
    </font>
    <font>
      <i val="true"/>
      <sz val="10"/>
      <color rgb="FF4A5568"/>
      <name val="Arial"/>
      <family val="0"/>
      <charset val="1"/>
    </font>
    <font>
      <b val="true"/>
      <sz val="11"/>
      <color rgb="FF0F2942"/>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s>
  <fills count="6">
    <fill>
      <patternFill patternType="none"/>
    </fill>
    <fill>
      <patternFill patternType="gray125"/>
    </fill>
    <fill>
      <patternFill patternType="solid">
        <fgColor rgb="FFFFF7D6"/>
        <bgColor rgb="FFEEF2F7"/>
      </patternFill>
    </fill>
    <fill>
      <patternFill patternType="solid">
        <fgColor rgb="FFEEF2F7"/>
        <bgColor rgb="FFE7F6EC"/>
      </patternFill>
    </fill>
    <fill>
      <patternFill patternType="solid">
        <fgColor rgb="FFE7F6EC"/>
        <bgColor rgb="FFEEF2F7"/>
      </patternFill>
    </fill>
    <fill>
      <patternFill patternType="solid">
        <fgColor rgb="FF0F2942"/>
        <bgColor rgb="FF333333"/>
      </patternFill>
    </fill>
  </fills>
  <borders count="2">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xf numFmtId="167" fontId="7" fillId="4" borderId="1" xfId="0" applyFont="true" applyBorder="true" applyAlignment="true" applyProtection="false">
      <alignment horizontal="general" vertical="top" textRotation="0" wrapText="true" indent="0" shrinkToFit="false"/>
      <protection locked="true" hidden="false"/>
    </xf>
    <xf numFmtId="168" fontId="7" fillId="3"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false">
      <alignment horizontal="general" vertical="top" textRotation="0" wrapText="true" indent="0" shrinkToFit="false"/>
      <protection locked="true" hidden="false"/>
    </xf>
    <xf numFmtId="167" fontId="7"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9" fontId="7" fillId="3" borderId="1" xfId="0" applyFont="true" applyBorder="true" applyAlignment="true" applyProtection="false">
      <alignment horizontal="center" vertical="top" textRotation="0" wrapText="true" indent="0" shrinkToFit="false"/>
      <protection locked="true" hidden="false"/>
    </xf>
    <xf numFmtId="167" fontId="7" fillId="3"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F2942"/>
          <bgColor rgb="FF000000"/>
        </patternFill>
      </fill>
    </dxf>
    <dxf>
      <fill>
        <patternFill patternType="solid">
          <fgColor rgb="FFE7F6EC"/>
          <bgColor rgb="FF000000"/>
        </patternFill>
      </fill>
    </dxf>
    <dxf>
      <fill>
        <patternFill patternType="solid">
          <fgColor rgb="FFFFF7D6"/>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EF2F7"/>
          <bgColor rgb="FF000000"/>
        </patternFill>
      </fill>
    </dxf>
    <dxf>
      <fill>
        <patternFill>
          <bgColor rgb="FFBFE5CB"/>
        </patternFill>
      </fill>
    </dxf>
    <dxf>
      <fill>
        <patternFill>
          <bgColor rgb="FFFDE68A"/>
        </patternFill>
      </fill>
    </dxf>
    <dxf>
      <fill>
        <patternFill>
          <bgColor rgb="FFFCA5A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D6"/>
      <rgbColor rgb="FFE7F6EC"/>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EEF2F7"/>
      <rgbColor rgb="FFBFE5CB"/>
      <rgbColor rgb="FFFDE68A"/>
      <rgbColor rgb="FF99CCFF"/>
      <rgbColor rgb="FFFCA5A5"/>
      <rgbColor rgb="FFCC99FF"/>
      <rgbColor rgb="FFFFCC99"/>
      <rgbColor rgb="FF3366FF"/>
      <rgbColor rgb="FF33CCCC"/>
      <rgbColor rgb="FF99CC00"/>
      <rgbColor rgb="FFFFCC00"/>
      <rgbColor rgb="FFFF9900"/>
      <rgbColor rgb="FFFF6600"/>
      <rgbColor rgb="FF4A5568"/>
      <rgbColor rgb="FF969696"/>
      <rgbColor rgb="FF0F294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25.5" hidden="false" customHeight="true" outlineLevel="0" collapsed="false">
      <c r="A1" s="1" t="s">
        <v>0</v>
      </c>
    </row>
    <row r="2" customFormat="false" ht="15" hidden="false" customHeight="false" outlineLevel="0" collapsed="false">
      <c r="A2" s="2" t="s">
        <v>1</v>
      </c>
    </row>
    <row r="4" customFormat="false" ht="45" hidden="false" customHeight="true" outlineLevel="0" collapsed="false">
      <c r="A4" s="3" t="s">
        <v>2</v>
      </c>
      <c r="B4" s="4" t="s">
        <v>3</v>
      </c>
    </row>
    <row r="5" customFormat="false" ht="120" hidden="false" customHeight="true" outlineLevel="0" collapsed="false">
      <c r="A5" s="3" t="s">
        <v>4</v>
      </c>
      <c r="B5" s="4" t="s">
        <v>5</v>
      </c>
    </row>
    <row r="6" customFormat="false" ht="45" hidden="false" customHeight="true" outlineLevel="0" collapsed="false">
      <c r="A6" s="3" t="s">
        <v>6</v>
      </c>
      <c r="B6" s="4" t="s">
        <v>7</v>
      </c>
    </row>
    <row r="7" customFormat="false" ht="30" hidden="false" customHeight="true" outlineLevel="0" collapsed="false">
      <c r="A7" s="3" t="s">
        <v>8</v>
      </c>
      <c r="B7" s="4" t="s">
        <v>9</v>
      </c>
    </row>
    <row r="8" customFormat="false" ht="60" hidden="false" customHeight="true" outlineLevel="0" collapsed="false">
      <c r="A8" s="3" t="s">
        <v>10</v>
      </c>
      <c r="B8" s="4" t="s">
        <v>11</v>
      </c>
    </row>
    <row r="9" customFormat="false" ht="45" hidden="false" customHeight="true" outlineLevel="0" collapsed="false">
      <c r="A9" s="3" t="s">
        <v>12</v>
      </c>
      <c r="B9" s="4" t="s">
        <v>13</v>
      </c>
    </row>
    <row r="11" customFormat="false" ht="15" hidden="false" customHeight="false" outlineLevel="0" collapsed="false">
      <c r="A11" s="5" t="s">
        <v>14</v>
      </c>
    </row>
    <row r="12" customFormat="false" ht="15" hidden="false" customHeight="false" outlineLevel="0" collapsed="false">
      <c r="A12" s="6" t="s">
        <v>15</v>
      </c>
    </row>
    <row r="13" customFormat="false" ht="15" hidden="false" customHeight="false" outlineLevel="0" collapsed="false">
      <c r="A13" s="7" t="s">
        <v>16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34"/>
    <col collapsed="false" customWidth="true" hidden="false" outlineLevel="0" max="4" min="4" style="0" width="12"/>
    <col collapsed="false" customWidth="true" hidden="false" outlineLevel="0" max="5" min="5" style="0" width="18"/>
    <col collapsed="false" customWidth="true" hidden="false" outlineLevel="0" max="6" min="6" style="0" width="11"/>
    <col collapsed="false" customWidth="true" hidden="false" outlineLevel="0" max="7" min="7" style="0" width="36"/>
    <col collapsed="false" customWidth="true" hidden="false" outlineLevel="0" max="8" min="8" style="0" width="15"/>
    <col collapsed="false" customWidth="true" hidden="false" outlineLevel="0" max="9" min="9" style="0" width="11"/>
    <col collapsed="false" customWidth="true" hidden="false" outlineLevel="0" max="10" min="10" style="0" width="14"/>
    <col collapsed="false" customWidth="true" hidden="false" outlineLevel="0" max="12" min="11" style="0" width="10"/>
    <col collapsed="false" customWidth="true" hidden="false" outlineLevel="0" max="13" min="13" style="0" width="11"/>
    <col collapsed="false" customWidth="true" hidden="false" outlineLevel="0" max="14" min="14" style="0" width="22"/>
    <col collapsed="false" customWidth="true" hidden="false" outlineLevel="0" max="15" min="15" style="0" width="14"/>
    <col collapsed="false" customWidth="true" hidden="false" outlineLevel="0" max="16" min="16" style="0" width="12"/>
    <col collapsed="false" customWidth="true" hidden="false" outlineLevel="0" max="17" min="17" style="0" width="9"/>
    <col collapsed="false" customWidth="true" hidden="false" outlineLevel="0" max="18" min="18" style="0" width="10"/>
    <col collapsed="false" customWidth="true" hidden="false" outlineLevel="0" max="19" min="19" style="0" width="11"/>
    <col collapsed="false" customWidth="true" hidden="false" outlineLevel="0" max="20" min="20" style="0" width="12"/>
    <col collapsed="false" customWidth="true" hidden="false" outlineLevel="0" max="21" min="21" style="0" width="13"/>
    <col collapsed="false" customWidth="true" hidden="false" outlineLevel="0" max="22" min="22" style="0" width="11"/>
    <col collapsed="false" customWidth="true" hidden="false" outlineLevel="0" max="23" min="23" style="0" width="16"/>
  </cols>
  <sheetData>
    <row r="1" customFormat="false" ht="25.5" hidden="false" customHeight="true" outlineLevel="0" collapsed="false">
      <c r="A1" s="1" t="s">
        <v>17</v>
      </c>
    </row>
    <row r="2" customFormat="false" ht="15" hidden="false" customHeight="false" outlineLevel="0" collapsed="false">
      <c r="A2" s="2" t="s">
        <v>18</v>
      </c>
    </row>
    <row r="4" customFormat="false" ht="43.5" hidden="false" customHeight="true" outlineLevel="0" collapsed="false">
      <c r="A4" s="8" t="s">
        <v>19</v>
      </c>
      <c r="B4" s="8" t="s">
        <v>20</v>
      </c>
      <c r="C4" s="8" t="s">
        <v>21</v>
      </c>
      <c r="D4" s="8" t="s">
        <v>22</v>
      </c>
      <c r="E4" s="8" t="s">
        <v>23</v>
      </c>
      <c r="F4" s="8" t="s">
        <v>24</v>
      </c>
      <c r="G4" s="8" t="s">
        <v>25</v>
      </c>
      <c r="H4" s="8" t="s">
        <v>26</v>
      </c>
      <c r="I4" s="8" t="s">
        <v>27</v>
      </c>
      <c r="J4" s="8" t="s">
        <v>28</v>
      </c>
      <c r="K4" s="8" t="s">
        <v>29</v>
      </c>
      <c r="L4" s="8" t="s">
        <v>30</v>
      </c>
      <c r="M4" s="8" t="s">
        <v>31</v>
      </c>
      <c r="N4" s="8" t="s">
        <v>32</v>
      </c>
      <c r="O4" s="8" t="s">
        <v>33</v>
      </c>
      <c r="P4" s="8" t="s">
        <v>34</v>
      </c>
      <c r="Q4" s="8" t="s">
        <v>35</v>
      </c>
      <c r="R4" s="8" t="s">
        <v>36</v>
      </c>
      <c r="S4" s="8" t="s">
        <v>37</v>
      </c>
      <c r="T4" s="8" t="s">
        <v>38</v>
      </c>
      <c r="U4" s="8" t="s">
        <v>39</v>
      </c>
      <c r="V4" s="8" t="s">
        <v>40</v>
      </c>
      <c r="W4" s="8" t="s">
        <v>41</v>
      </c>
    </row>
    <row r="5" customFormat="false" ht="46.25" hidden="false" customHeight="false" outlineLevel="0" collapsed="false">
      <c r="A5" s="7" t="s">
        <v>42</v>
      </c>
      <c r="B5" s="7" t="s">
        <v>43</v>
      </c>
      <c r="C5" s="7" t="s">
        <v>44</v>
      </c>
      <c r="D5" s="9" t="n">
        <v>46154</v>
      </c>
      <c r="E5" s="7" t="s">
        <v>45</v>
      </c>
      <c r="F5" s="10" t="n">
        <v>12000</v>
      </c>
      <c r="G5" s="7" t="s">
        <v>46</v>
      </c>
      <c r="H5" s="11" t="n">
        <v>1260000</v>
      </c>
      <c r="I5" s="10" t="n">
        <v>9800</v>
      </c>
      <c r="J5" s="11" t="n">
        <v>1010000</v>
      </c>
      <c r="K5" s="12" t="n">
        <f aca="false">IF(OR(F5="",F5=0,I5=""),"",I5/F5)</f>
        <v>0.816666666666667</v>
      </c>
      <c r="L5" s="12" t="n">
        <f aca="false">IF(OR(H5="",H5=0,J5=""),"",J5/H5)</f>
        <v>0.801587301587302</v>
      </c>
      <c r="M5" s="13" t="n">
        <f aca="false">IF(F5="","",F5-N(I5))</f>
        <v>2200</v>
      </c>
      <c r="N5" s="7" t="s">
        <v>47</v>
      </c>
      <c r="O5" s="7" t="s">
        <v>48</v>
      </c>
      <c r="P5" s="9" t="n">
        <v>46356</v>
      </c>
      <c r="Q5" s="6" t="n">
        <f aca="true">IF(D5="","",IF(O5="Closed",IF(T5="","",T5-D5),TODAY()-D5))</f>
        <v>139</v>
      </c>
      <c r="R5" s="6" t="str">
        <f aca="true">IF(OR(P5="",O5="Closed"),"",IF(P5&lt;TODAY(),"OVERDUE",IF(P5-TODAY()&lt;=30,"Due soon","On track")))</f>
        <v>On track</v>
      </c>
      <c r="S5" s="7" t="s">
        <v>49</v>
      </c>
      <c r="T5" s="9"/>
      <c r="U5" s="7" t="s">
        <v>50</v>
      </c>
      <c r="V5" s="7" t="s">
        <v>49</v>
      </c>
      <c r="W5" s="7" t="s">
        <v>51</v>
      </c>
    </row>
    <row r="6" customFormat="false" ht="15" hidden="false" customHeight="false" outlineLevel="0" collapsed="false">
      <c r="A6" s="5"/>
      <c r="B6" s="5"/>
      <c r="C6" s="5"/>
      <c r="D6" s="14"/>
      <c r="E6" s="5"/>
      <c r="F6" s="15"/>
      <c r="G6" s="5"/>
      <c r="H6" s="16"/>
      <c r="I6" s="15"/>
      <c r="J6" s="16"/>
      <c r="K6" s="12" t="str">
        <f aca="false">IF(OR(F6="",F6=0,I6=""),"",I6/F6)</f>
        <v/>
      </c>
      <c r="L6" s="12" t="str">
        <f aca="false">IF(OR(H6="",H6=0,J6=""),"",J6/H6)</f>
        <v/>
      </c>
      <c r="M6" s="13" t="str">
        <f aca="false">IF(F6="","",F6-N(I6))</f>
        <v/>
      </c>
      <c r="N6" s="5"/>
      <c r="O6" s="5"/>
      <c r="P6" s="14"/>
      <c r="Q6" s="6" t="str">
        <f aca="true">IF(D6="","",IF(O6="Closed",IF(T6="","",T6-D6),TODAY()-D6))</f>
        <v/>
      </c>
      <c r="R6" s="6" t="str">
        <f aca="true">IF(OR(P6="",O6="Closed"),"",IF(P6&lt;TODAY(),"OVERDUE",IF(P6-TODAY()&lt;=30,"Due soon","On track")))</f>
        <v/>
      </c>
      <c r="S6" s="5"/>
      <c r="T6" s="14"/>
      <c r="U6" s="5"/>
      <c r="V6" s="5"/>
      <c r="W6" s="5"/>
    </row>
    <row r="7" customFormat="false" ht="15" hidden="false" customHeight="false" outlineLevel="0" collapsed="false">
      <c r="A7" s="5"/>
      <c r="B7" s="5"/>
      <c r="C7" s="5"/>
      <c r="D7" s="14"/>
      <c r="E7" s="5"/>
      <c r="F7" s="15"/>
      <c r="G7" s="5"/>
      <c r="H7" s="16"/>
      <c r="I7" s="15"/>
      <c r="J7" s="16"/>
      <c r="K7" s="12" t="str">
        <f aca="false">IF(OR(F7="",F7=0,I7=""),"",I7/F7)</f>
        <v/>
      </c>
      <c r="L7" s="12" t="str">
        <f aca="false">IF(OR(H7="",H7=0,J7=""),"",J7/H7)</f>
        <v/>
      </c>
      <c r="M7" s="13" t="str">
        <f aca="false">IF(F7="","",F7-N(I7))</f>
        <v/>
      </c>
      <c r="N7" s="5"/>
      <c r="O7" s="5"/>
      <c r="P7" s="14"/>
      <c r="Q7" s="6" t="str">
        <f aca="true">IF(D7="","",IF(O7="Closed",IF(T7="","",T7-D7),TODAY()-D7))</f>
        <v/>
      </c>
      <c r="R7" s="6" t="str">
        <f aca="true">IF(OR(P7="",O7="Closed"),"",IF(P7&lt;TODAY(),"OVERDUE",IF(P7-TODAY()&lt;=30,"Due soon","On track")))</f>
        <v/>
      </c>
      <c r="S7" s="5"/>
      <c r="T7" s="14"/>
      <c r="U7" s="5"/>
      <c r="V7" s="5"/>
      <c r="W7" s="5"/>
    </row>
    <row r="8" customFormat="false" ht="15" hidden="false" customHeight="false" outlineLevel="0" collapsed="false">
      <c r="A8" s="5"/>
      <c r="B8" s="5"/>
      <c r="C8" s="5"/>
      <c r="D8" s="14"/>
      <c r="E8" s="5"/>
      <c r="F8" s="15"/>
      <c r="G8" s="5"/>
      <c r="H8" s="16"/>
      <c r="I8" s="15"/>
      <c r="J8" s="16"/>
      <c r="K8" s="12" t="str">
        <f aca="false">IF(OR(F8="",F8=0,I8=""),"",I8/F8)</f>
        <v/>
      </c>
      <c r="L8" s="12" t="str">
        <f aca="false">IF(OR(H8="",H8=0,J8=""),"",J8/H8)</f>
        <v/>
      </c>
      <c r="M8" s="13" t="str">
        <f aca="false">IF(F8="","",F8-N(I8))</f>
        <v/>
      </c>
      <c r="N8" s="5"/>
      <c r="O8" s="5"/>
      <c r="P8" s="14"/>
      <c r="Q8" s="6" t="str">
        <f aca="true">IF(D8="","",IF(O8="Closed",IF(T8="","",T8-D8),TODAY()-D8))</f>
        <v/>
      </c>
      <c r="R8" s="6" t="str">
        <f aca="true">IF(OR(P8="",O8="Closed"),"",IF(P8&lt;TODAY(),"OVERDUE",IF(P8-TODAY()&lt;=30,"Due soon","On track")))</f>
        <v/>
      </c>
      <c r="S8" s="5"/>
      <c r="T8" s="14"/>
      <c r="U8" s="5"/>
      <c r="V8" s="5"/>
      <c r="W8" s="5"/>
    </row>
    <row r="9" customFormat="false" ht="15" hidden="false" customHeight="false" outlineLevel="0" collapsed="false">
      <c r="A9" s="5"/>
      <c r="B9" s="5"/>
      <c r="C9" s="5"/>
      <c r="D9" s="14"/>
      <c r="E9" s="5"/>
      <c r="F9" s="15"/>
      <c r="G9" s="5"/>
      <c r="H9" s="16"/>
      <c r="I9" s="15"/>
      <c r="J9" s="16"/>
      <c r="K9" s="12" t="str">
        <f aca="false">IF(OR(F9="",F9=0,I9=""),"",I9/F9)</f>
        <v/>
      </c>
      <c r="L9" s="12" t="str">
        <f aca="false">IF(OR(H9="",H9=0,J9=""),"",J9/H9)</f>
        <v/>
      </c>
      <c r="M9" s="13" t="str">
        <f aca="false">IF(F9="","",F9-N(I9))</f>
        <v/>
      </c>
      <c r="N9" s="5"/>
      <c r="O9" s="5"/>
      <c r="P9" s="14"/>
      <c r="Q9" s="6" t="str">
        <f aca="true">IF(D9="","",IF(O9="Closed",IF(T9="","",T9-D9),TODAY()-D9))</f>
        <v/>
      </c>
      <c r="R9" s="6" t="str">
        <f aca="true">IF(OR(P9="",O9="Closed"),"",IF(P9&lt;TODAY(),"OVERDUE",IF(P9-TODAY()&lt;=30,"Due soon","On track")))</f>
        <v/>
      </c>
      <c r="S9" s="5"/>
      <c r="T9" s="14"/>
      <c r="U9" s="5"/>
      <c r="V9" s="5"/>
      <c r="W9" s="5"/>
    </row>
    <row r="10" customFormat="false" ht="15" hidden="false" customHeight="false" outlineLevel="0" collapsed="false">
      <c r="A10" s="5"/>
      <c r="B10" s="5"/>
      <c r="C10" s="5"/>
      <c r="D10" s="14"/>
      <c r="E10" s="5"/>
      <c r="F10" s="15"/>
      <c r="G10" s="5"/>
      <c r="H10" s="16"/>
      <c r="I10" s="15"/>
      <c r="J10" s="16"/>
      <c r="K10" s="12" t="str">
        <f aca="false">IF(OR(F10="",F10=0,I10=""),"",I10/F10)</f>
        <v/>
      </c>
      <c r="L10" s="12" t="str">
        <f aca="false">IF(OR(H10="",H10=0,J10=""),"",J10/H10)</f>
        <v/>
      </c>
      <c r="M10" s="13" t="str">
        <f aca="false">IF(F10="","",F10-N(I10))</f>
        <v/>
      </c>
      <c r="N10" s="5"/>
      <c r="O10" s="5"/>
      <c r="P10" s="14"/>
      <c r="Q10" s="6" t="str">
        <f aca="true">IF(D10="","",IF(O10="Closed",IF(T10="","",T10-D10),TODAY()-D10))</f>
        <v/>
      </c>
      <c r="R10" s="6" t="str">
        <f aca="true">IF(OR(P10="",O10="Closed"),"",IF(P10&lt;TODAY(),"OVERDUE",IF(P10-TODAY()&lt;=30,"Due soon","On track")))</f>
        <v/>
      </c>
      <c r="S10" s="5"/>
      <c r="T10" s="14"/>
      <c r="U10" s="5"/>
      <c r="V10" s="5"/>
      <c r="W10" s="5"/>
    </row>
    <row r="11" customFormat="false" ht="15" hidden="false" customHeight="false" outlineLevel="0" collapsed="false">
      <c r="A11" s="5"/>
      <c r="B11" s="5"/>
      <c r="C11" s="5"/>
      <c r="D11" s="14"/>
      <c r="E11" s="5"/>
      <c r="F11" s="15"/>
      <c r="G11" s="5"/>
      <c r="H11" s="16"/>
      <c r="I11" s="15"/>
      <c r="J11" s="16"/>
      <c r="K11" s="12" t="str">
        <f aca="false">IF(OR(F11="",F11=0,I11=""),"",I11/F11)</f>
        <v/>
      </c>
      <c r="L11" s="12" t="str">
        <f aca="false">IF(OR(H11="",H11=0,J11=""),"",J11/H11)</f>
        <v/>
      </c>
      <c r="M11" s="13" t="str">
        <f aca="false">IF(F11="","",F11-N(I11))</f>
        <v/>
      </c>
      <c r="N11" s="5"/>
      <c r="O11" s="5"/>
      <c r="P11" s="14"/>
      <c r="Q11" s="6" t="str">
        <f aca="true">IF(D11="","",IF(O11="Closed",IF(T11="","",T11-D11),TODAY()-D11))</f>
        <v/>
      </c>
      <c r="R11" s="6" t="str">
        <f aca="true">IF(OR(P11="",O11="Closed"),"",IF(P11&lt;TODAY(),"OVERDUE",IF(P11-TODAY()&lt;=30,"Due soon","On track")))</f>
        <v/>
      </c>
      <c r="S11" s="5"/>
      <c r="T11" s="14"/>
      <c r="U11" s="5"/>
      <c r="V11" s="5"/>
      <c r="W11" s="5"/>
    </row>
    <row r="12" customFormat="false" ht="15" hidden="false" customHeight="false" outlineLevel="0" collapsed="false">
      <c r="A12" s="5"/>
      <c r="B12" s="5"/>
      <c r="C12" s="5"/>
      <c r="D12" s="14"/>
      <c r="E12" s="5"/>
      <c r="F12" s="15"/>
      <c r="G12" s="5"/>
      <c r="H12" s="16"/>
      <c r="I12" s="15"/>
      <c r="J12" s="16"/>
      <c r="K12" s="12" t="str">
        <f aca="false">IF(OR(F12="",F12=0,I12=""),"",I12/F12)</f>
        <v/>
      </c>
      <c r="L12" s="12" t="str">
        <f aca="false">IF(OR(H12="",H12=0,J12=""),"",J12/H12)</f>
        <v/>
      </c>
      <c r="M12" s="13" t="str">
        <f aca="false">IF(F12="","",F12-N(I12))</f>
        <v/>
      </c>
      <c r="N12" s="5"/>
      <c r="O12" s="5"/>
      <c r="P12" s="14"/>
      <c r="Q12" s="6" t="str">
        <f aca="true">IF(D12="","",IF(O12="Closed",IF(T12="","",T12-D12),TODAY()-D12))</f>
        <v/>
      </c>
      <c r="R12" s="6" t="str">
        <f aca="true">IF(OR(P12="",O12="Closed"),"",IF(P12&lt;TODAY(),"OVERDUE",IF(P12-TODAY()&lt;=30,"Due soon","On track")))</f>
        <v/>
      </c>
      <c r="S12" s="5"/>
      <c r="T12" s="14"/>
      <c r="U12" s="5"/>
      <c r="V12" s="5"/>
      <c r="W12" s="5"/>
    </row>
    <row r="13" customFormat="false" ht="15" hidden="false" customHeight="false" outlineLevel="0" collapsed="false">
      <c r="A13" s="5"/>
      <c r="B13" s="5"/>
      <c r="C13" s="5"/>
      <c r="D13" s="14"/>
      <c r="E13" s="5"/>
      <c r="F13" s="15"/>
      <c r="G13" s="5"/>
      <c r="H13" s="16"/>
      <c r="I13" s="15"/>
      <c r="J13" s="16"/>
      <c r="K13" s="12" t="str">
        <f aca="false">IF(OR(F13="",F13=0,I13=""),"",I13/F13)</f>
        <v/>
      </c>
      <c r="L13" s="12" t="str">
        <f aca="false">IF(OR(H13="",H13=0,J13=""),"",J13/H13)</f>
        <v/>
      </c>
      <c r="M13" s="13" t="str">
        <f aca="false">IF(F13="","",F13-N(I13))</f>
        <v/>
      </c>
      <c r="N13" s="5"/>
      <c r="O13" s="5"/>
      <c r="P13" s="14"/>
      <c r="Q13" s="6" t="str">
        <f aca="true">IF(D13="","",IF(O13="Closed",IF(T13="","",T13-D13),TODAY()-D13))</f>
        <v/>
      </c>
      <c r="R13" s="6" t="str">
        <f aca="true">IF(OR(P13="",O13="Closed"),"",IF(P13&lt;TODAY(),"OVERDUE",IF(P13-TODAY()&lt;=30,"Due soon","On track")))</f>
        <v/>
      </c>
      <c r="S13" s="5"/>
      <c r="T13" s="14"/>
      <c r="U13" s="5"/>
      <c r="V13" s="5"/>
      <c r="W13" s="5"/>
    </row>
    <row r="14" customFormat="false" ht="15" hidden="false" customHeight="false" outlineLevel="0" collapsed="false">
      <c r="A14" s="5"/>
      <c r="B14" s="5"/>
      <c r="C14" s="5"/>
      <c r="D14" s="14"/>
      <c r="E14" s="5"/>
      <c r="F14" s="15"/>
      <c r="G14" s="5"/>
      <c r="H14" s="16"/>
      <c r="I14" s="15"/>
      <c r="J14" s="16"/>
      <c r="K14" s="12" t="str">
        <f aca="false">IF(OR(F14="",F14=0,I14=""),"",I14/F14)</f>
        <v/>
      </c>
      <c r="L14" s="12" t="str">
        <f aca="false">IF(OR(H14="",H14=0,J14=""),"",J14/H14)</f>
        <v/>
      </c>
      <c r="M14" s="13" t="str">
        <f aca="false">IF(F14="","",F14-N(I14))</f>
        <v/>
      </c>
      <c r="N14" s="5"/>
      <c r="O14" s="5"/>
      <c r="P14" s="14"/>
      <c r="Q14" s="6" t="str">
        <f aca="true">IF(D14="","",IF(O14="Closed",IF(T14="","",T14-D14),TODAY()-D14))</f>
        <v/>
      </c>
      <c r="R14" s="6" t="str">
        <f aca="true">IF(OR(P14="",O14="Closed"),"",IF(P14&lt;TODAY(),"OVERDUE",IF(P14-TODAY()&lt;=30,"Due soon","On track")))</f>
        <v/>
      </c>
      <c r="S14" s="5"/>
      <c r="T14" s="14"/>
      <c r="U14" s="5"/>
      <c r="V14" s="5"/>
      <c r="W14" s="5"/>
    </row>
    <row r="15" customFormat="false" ht="15" hidden="false" customHeight="false" outlineLevel="0" collapsed="false">
      <c r="A15" s="5"/>
      <c r="B15" s="5"/>
      <c r="C15" s="5"/>
      <c r="D15" s="14"/>
      <c r="E15" s="5"/>
      <c r="F15" s="15"/>
      <c r="G15" s="5"/>
      <c r="H15" s="16"/>
      <c r="I15" s="15"/>
      <c r="J15" s="16"/>
      <c r="K15" s="12" t="str">
        <f aca="false">IF(OR(F15="",F15=0,I15=""),"",I15/F15)</f>
        <v/>
      </c>
      <c r="L15" s="12" t="str">
        <f aca="false">IF(OR(H15="",H15=0,J15=""),"",J15/H15)</f>
        <v/>
      </c>
      <c r="M15" s="13" t="str">
        <f aca="false">IF(F15="","",F15-N(I15))</f>
        <v/>
      </c>
      <c r="N15" s="5"/>
      <c r="O15" s="5"/>
      <c r="P15" s="14"/>
      <c r="Q15" s="6" t="str">
        <f aca="true">IF(D15="","",IF(O15="Closed",IF(T15="","",T15-D15),TODAY()-D15))</f>
        <v/>
      </c>
      <c r="R15" s="6" t="str">
        <f aca="true">IF(OR(P15="",O15="Closed"),"",IF(P15&lt;TODAY(),"OVERDUE",IF(P15-TODAY()&lt;=30,"Due soon","On track")))</f>
        <v/>
      </c>
      <c r="S15" s="5"/>
      <c r="T15" s="14"/>
      <c r="U15" s="5"/>
      <c r="V15" s="5"/>
      <c r="W15" s="5"/>
    </row>
    <row r="16" customFormat="false" ht="15" hidden="false" customHeight="false" outlineLevel="0" collapsed="false">
      <c r="A16" s="5"/>
      <c r="B16" s="5"/>
      <c r="C16" s="5"/>
      <c r="D16" s="14"/>
      <c r="E16" s="5"/>
      <c r="F16" s="15"/>
      <c r="G16" s="5"/>
      <c r="H16" s="16"/>
      <c r="I16" s="15"/>
      <c r="J16" s="16"/>
      <c r="K16" s="12" t="str">
        <f aca="false">IF(OR(F16="",F16=0,I16=""),"",I16/F16)</f>
        <v/>
      </c>
      <c r="L16" s="12" t="str">
        <f aca="false">IF(OR(H16="",H16=0,J16=""),"",J16/H16)</f>
        <v/>
      </c>
      <c r="M16" s="13" t="str">
        <f aca="false">IF(F16="","",F16-N(I16))</f>
        <v/>
      </c>
      <c r="N16" s="5"/>
      <c r="O16" s="5"/>
      <c r="P16" s="14"/>
      <c r="Q16" s="6" t="str">
        <f aca="true">IF(D16="","",IF(O16="Closed",IF(T16="","",T16-D16),TODAY()-D16))</f>
        <v/>
      </c>
      <c r="R16" s="6" t="str">
        <f aca="true">IF(OR(P16="",O16="Closed"),"",IF(P16&lt;TODAY(),"OVERDUE",IF(P16-TODAY()&lt;=30,"Due soon","On track")))</f>
        <v/>
      </c>
      <c r="S16" s="5"/>
      <c r="T16" s="14"/>
      <c r="U16" s="5"/>
      <c r="V16" s="5"/>
      <c r="W16" s="5"/>
    </row>
    <row r="17" customFormat="false" ht="15" hidden="false" customHeight="false" outlineLevel="0" collapsed="false">
      <c r="A17" s="5"/>
      <c r="B17" s="5"/>
      <c r="C17" s="5"/>
      <c r="D17" s="14"/>
      <c r="E17" s="5"/>
      <c r="F17" s="15"/>
      <c r="G17" s="5"/>
      <c r="H17" s="16"/>
      <c r="I17" s="15"/>
      <c r="J17" s="16"/>
      <c r="K17" s="12" t="str">
        <f aca="false">IF(OR(F17="",F17=0,I17=""),"",I17/F17)</f>
        <v/>
      </c>
      <c r="L17" s="12" t="str">
        <f aca="false">IF(OR(H17="",H17=0,J17=""),"",J17/H17)</f>
        <v/>
      </c>
      <c r="M17" s="13" t="str">
        <f aca="false">IF(F17="","",F17-N(I17))</f>
        <v/>
      </c>
      <c r="N17" s="5"/>
      <c r="O17" s="5"/>
      <c r="P17" s="14"/>
      <c r="Q17" s="6" t="str">
        <f aca="true">IF(D17="","",IF(O17="Closed",IF(T17="","",T17-D17),TODAY()-D17))</f>
        <v/>
      </c>
      <c r="R17" s="6" t="str">
        <f aca="true">IF(OR(P17="",O17="Closed"),"",IF(P17&lt;TODAY(),"OVERDUE",IF(P17-TODAY()&lt;=30,"Due soon","On track")))</f>
        <v/>
      </c>
      <c r="S17" s="5"/>
      <c r="T17" s="14"/>
      <c r="U17" s="5"/>
      <c r="V17" s="5"/>
      <c r="W17" s="5"/>
    </row>
    <row r="18" customFormat="false" ht="15" hidden="false" customHeight="false" outlineLevel="0" collapsed="false">
      <c r="A18" s="5"/>
      <c r="B18" s="5"/>
      <c r="C18" s="5"/>
      <c r="D18" s="14"/>
      <c r="E18" s="5"/>
      <c r="F18" s="15"/>
      <c r="G18" s="5"/>
      <c r="H18" s="16"/>
      <c r="I18" s="15"/>
      <c r="J18" s="16"/>
      <c r="K18" s="12" t="str">
        <f aca="false">IF(OR(F18="",F18=0,I18=""),"",I18/F18)</f>
        <v/>
      </c>
      <c r="L18" s="12" t="str">
        <f aca="false">IF(OR(H18="",H18=0,J18=""),"",J18/H18)</f>
        <v/>
      </c>
      <c r="M18" s="13" t="str">
        <f aca="false">IF(F18="","",F18-N(I18))</f>
        <v/>
      </c>
      <c r="N18" s="5"/>
      <c r="O18" s="5"/>
      <c r="P18" s="14"/>
      <c r="Q18" s="6" t="str">
        <f aca="true">IF(D18="","",IF(O18="Closed",IF(T18="","",T18-D18),TODAY()-D18))</f>
        <v/>
      </c>
      <c r="R18" s="6" t="str">
        <f aca="true">IF(OR(P18="",O18="Closed"),"",IF(P18&lt;TODAY(),"OVERDUE",IF(P18-TODAY()&lt;=30,"Due soon","On track")))</f>
        <v/>
      </c>
      <c r="S18" s="5"/>
      <c r="T18" s="14"/>
      <c r="U18" s="5"/>
      <c r="V18" s="5"/>
      <c r="W18" s="5"/>
    </row>
    <row r="19" customFormat="false" ht="15" hidden="false" customHeight="false" outlineLevel="0" collapsed="false">
      <c r="A19" s="5"/>
      <c r="B19" s="5"/>
      <c r="C19" s="5"/>
      <c r="D19" s="14"/>
      <c r="E19" s="5"/>
      <c r="F19" s="15"/>
      <c r="G19" s="5"/>
      <c r="H19" s="16"/>
      <c r="I19" s="15"/>
      <c r="J19" s="16"/>
      <c r="K19" s="12" t="str">
        <f aca="false">IF(OR(F19="",F19=0,I19=""),"",I19/F19)</f>
        <v/>
      </c>
      <c r="L19" s="12" t="str">
        <f aca="false">IF(OR(H19="",H19=0,J19=""),"",J19/H19)</f>
        <v/>
      </c>
      <c r="M19" s="13" t="str">
        <f aca="false">IF(F19="","",F19-N(I19))</f>
        <v/>
      </c>
      <c r="N19" s="5"/>
      <c r="O19" s="5"/>
      <c r="P19" s="14"/>
      <c r="Q19" s="6" t="str">
        <f aca="true">IF(D19="","",IF(O19="Closed",IF(T19="","",T19-D19),TODAY()-D19))</f>
        <v/>
      </c>
      <c r="R19" s="6" t="str">
        <f aca="true">IF(OR(P19="",O19="Closed"),"",IF(P19&lt;TODAY(),"OVERDUE",IF(P19-TODAY()&lt;=30,"Due soon","On track")))</f>
        <v/>
      </c>
      <c r="S19" s="5"/>
      <c r="T19" s="14"/>
      <c r="U19" s="5"/>
      <c r="V19" s="5"/>
      <c r="W19" s="5"/>
    </row>
    <row r="20" customFormat="false" ht="15" hidden="false" customHeight="false" outlineLevel="0" collapsed="false">
      <c r="A20" s="5"/>
      <c r="B20" s="5"/>
      <c r="C20" s="5"/>
      <c r="D20" s="14"/>
      <c r="E20" s="5"/>
      <c r="F20" s="15"/>
      <c r="G20" s="5"/>
      <c r="H20" s="16"/>
      <c r="I20" s="15"/>
      <c r="J20" s="16"/>
      <c r="K20" s="12" t="str">
        <f aca="false">IF(OR(F20="",F20=0,I20=""),"",I20/F20)</f>
        <v/>
      </c>
      <c r="L20" s="12" t="str">
        <f aca="false">IF(OR(H20="",H20=0,J20=""),"",J20/H20)</f>
        <v/>
      </c>
      <c r="M20" s="13" t="str">
        <f aca="false">IF(F20="","",F20-N(I20))</f>
        <v/>
      </c>
      <c r="N20" s="5"/>
      <c r="O20" s="5"/>
      <c r="P20" s="14"/>
      <c r="Q20" s="6" t="str">
        <f aca="true">IF(D20="","",IF(O20="Closed",IF(T20="","",T20-D20),TODAY()-D20))</f>
        <v/>
      </c>
      <c r="R20" s="6" t="str">
        <f aca="true">IF(OR(P20="",O20="Closed"),"",IF(P20&lt;TODAY(),"OVERDUE",IF(P20-TODAY()&lt;=30,"Due soon","On track")))</f>
        <v/>
      </c>
      <c r="S20" s="5"/>
      <c r="T20" s="14"/>
      <c r="U20" s="5"/>
      <c r="V20" s="5"/>
      <c r="W20" s="5"/>
    </row>
    <row r="21" customFormat="false" ht="15" hidden="false" customHeight="false" outlineLevel="0" collapsed="false">
      <c r="A21" s="5"/>
      <c r="B21" s="5"/>
      <c r="C21" s="5"/>
      <c r="D21" s="14"/>
      <c r="E21" s="5"/>
      <c r="F21" s="15"/>
      <c r="G21" s="5"/>
      <c r="H21" s="16"/>
      <c r="I21" s="15"/>
      <c r="J21" s="16"/>
      <c r="K21" s="12" t="str">
        <f aca="false">IF(OR(F21="",F21=0,I21=""),"",I21/F21)</f>
        <v/>
      </c>
      <c r="L21" s="12" t="str">
        <f aca="false">IF(OR(H21="",H21=0,J21=""),"",J21/H21)</f>
        <v/>
      </c>
      <c r="M21" s="13" t="str">
        <f aca="false">IF(F21="","",F21-N(I21))</f>
        <v/>
      </c>
      <c r="N21" s="5"/>
      <c r="O21" s="5"/>
      <c r="P21" s="14"/>
      <c r="Q21" s="6" t="str">
        <f aca="true">IF(D21="","",IF(O21="Closed",IF(T21="","",T21-D21),TODAY()-D21))</f>
        <v/>
      </c>
      <c r="R21" s="6" t="str">
        <f aca="true">IF(OR(P21="",O21="Closed"),"",IF(P21&lt;TODAY(),"OVERDUE",IF(P21-TODAY()&lt;=30,"Due soon","On track")))</f>
        <v/>
      </c>
      <c r="S21" s="5"/>
      <c r="T21" s="14"/>
      <c r="U21" s="5"/>
      <c r="V21" s="5"/>
      <c r="W21" s="5"/>
    </row>
    <row r="22" customFormat="false" ht="15" hidden="false" customHeight="false" outlineLevel="0" collapsed="false">
      <c r="A22" s="5"/>
      <c r="B22" s="5"/>
      <c r="C22" s="5"/>
      <c r="D22" s="14"/>
      <c r="E22" s="5"/>
      <c r="F22" s="15"/>
      <c r="G22" s="5"/>
      <c r="H22" s="16"/>
      <c r="I22" s="15"/>
      <c r="J22" s="16"/>
      <c r="K22" s="12" t="str">
        <f aca="false">IF(OR(F22="",F22=0,I22=""),"",I22/F22)</f>
        <v/>
      </c>
      <c r="L22" s="12" t="str">
        <f aca="false">IF(OR(H22="",H22=0,J22=""),"",J22/H22)</f>
        <v/>
      </c>
      <c r="M22" s="13" t="str">
        <f aca="false">IF(F22="","",F22-N(I22))</f>
        <v/>
      </c>
      <c r="N22" s="5"/>
      <c r="O22" s="5"/>
      <c r="P22" s="14"/>
      <c r="Q22" s="6" t="str">
        <f aca="true">IF(D22="","",IF(O22="Closed",IF(T22="","",T22-D22),TODAY()-D22))</f>
        <v/>
      </c>
      <c r="R22" s="6" t="str">
        <f aca="true">IF(OR(P22="",O22="Closed"),"",IF(P22&lt;TODAY(),"OVERDUE",IF(P22-TODAY()&lt;=30,"Due soon","On track")))</f>
        <v/>
      </c>
      <c r="S22" s="5"/>
      <c r="T22" s="14"/>
      <c r="U22" s="5"/>
      <c r="V22" s="5"/>
      <c r="W22" s="5"/>
    </row>
    <row r="23" customFormat="false" ht="15" hidden="false" customHeight="false" outlineLevel="0" collapsed="false">
      <c r="A23" s="5"/>
      <c r="B23" s="5"/>
      <c r="C23" s="5"/>
      <c r="D23" s="14"/>
      <c r="E23" s="5"/>
      <c r="F23" s="15"/>
      <c r="G23" s="5"/>
      <c r="H23" s="16"/>
      <c r="I23" s="15"/>
      <c r="J23" s="16"/>
      <c r="K23" s="12" t="str">
        <f aca="false">IF(OR(F23="",F23=0,I23=""),"",I23/F23)</f>
        <v/>
      </c>
      <c r="L23" s="12" t="str">
        <f aca="false">IF(OR(H23="",H23=0,J23=""),"",J23/H23)</f>
        <v/>
      </c>
      <c r="M23" s="13" t="str">
        <f aca="false">IF(F23="","",F23-N(I23))</f>
        <v/>
      </c>
      <c r="N23" s="5"/>
      <c r="O23" s="5"/>
      <c r="P23" s="14"/>
      <c r="Q23" s="6" t="str">
        <f aca="true">IF(D23="","",IF(O23="Closed",IF(T23="","",T23-D23),TODAY()-D23))</f>
        <v/>
      </c>
      <c r="R23" s="6" t="str">
        <f aca="true">IF(OR(P23="",O23="Closed"),"",IF(P23&lt;TODAY(),"OVERDUE",IF(P23-TODAY()&lt;=30,"Due soon","On track")))</f>
        <v/>
      </c>
      <c r="S23" s="5"/>
      <c r="T23" s="14"/>
      <c r="U23" s="5"/>
      <c r="V23" s="5"/>
      <c r="W23" s="5"/>
    </row>
    <row r="24" customFormat="false" ht="15" hidden="false" customHeight="false" outlineLevel="0" collapsed="false">
      <c r="A24" s="5"/>
      <c r="B24" s="5"/>
      <c r="C24" s="5"/>
      <c r="D24" s="14"/>
      <c r="E24" s="5"/>
      <c r="F24" s="15"/>
      <c r="G24" s="5"/>
      <c r="H24" s="16"/>
      <c r="I24" s="15"/>
      <c r="J24" s="16"/>
      <c r="K24" s="12" t="str">
        <f aca="false">IF(OR(F24="",F24=0,I24=""),"",I24/F24)</f>
        <v/>
      </c>
      <c r="L24" s="12" t="str">
        <f aca="false">IF(OR(H24="",H24=0,J24=""),"",J24/H24)</f>
        <v/>
      </c>
      <c r="M24" s="13" t="str">
        <f aca="false">IF(F24="","",F24-N(I24))</f>
        <v/>
      </c>
      <c r="N24" s="5"/>
      <c r="O24" s="5"/>
      <c r="P24" s="14"/>
      <c r="Q24" s="6" t="str">
        <f aca="true">IF(D24="","",IF(O24="Closed",IF(T24="","",T24-D24),TODAY()-D24))</f>
        <v/>
      </c>
      <c r="R24" s="6" t="str">
        <f aca="true">IF(OR(P24="",O24="Closed"),"",IF(P24&lt;TODAY(),"OVERDUE",IF(P24-TODAY()&lt;=30,"Due soon","On track")))</f>
        <v/>
      </c>
      <c r="S24" s="5"/>
      <c r="T24" s="14"/>
      <c r="U24" s="5"/>
      <c r="V24" s="5"/>
      <c r="W24" s="5"/>
    </row>
    <row r="25" customFormat="false" ht="15" hidden="false" customHeight="false" outlineLevel="0" collapsed="false">
      <c r="A25" s="5"/>
      <c r="B25" s="5"/>
      <c r="C25" s="5"/>
      <c r="D25" s="14"/>
      <c r="E25" s="5"/>
      <c r="F25" s="15"/>
      <c r="G25" s="5"/>
      <c r="H25" s="16"/>
      <c r="I25" s="15"/>
      <c r="J25" s="16"/>
      <c r="K25" s="12" t="str">
        <f aca="false">IF(OR(F25="",F25=0,I25=""),"",I25/F25)</f>
        <v/>
      </c>
      <c r="L25" s="12" t="str">
        <f aca="false">IF(OR(H25="",H25=0,J25=""),"",J25/H25)</f>
        <v/>
      </c>
      <c r="M25" s="13" t="str">
        <f aca="false">IF(F25="","",F25-N(I25))</f>
        <v/>
      </c>
      <c r="N25" s="5"/>
      <c r="O25" s="5"/>
      <c r="P25" s="14"/>
      <c r="Q25" s="6" t="str">
        <f aca="true">IF(D25="","",IF(O25="Closed",IF(T25="","",T25-D25),TODAY()-D25))</f>
        <v/>
      </c>
      <c r="R25" s="6" t="str">
        <f aca="true">IF(OR(P25="",O25="Closed"),"",IF(P25&lt;TODAY(),"OVERDUE",IF(P25-TODAY()&lt;=30,"Due soon","On track")))</f>
        <v/>
      </c>
      <c r="S25" s="5"/>
      <c r="T25" s="14"/>
      <c r="U25" s="5"/>
      <c r="V25" s="5"/>
      <c r="W25" s="5"/>
    </row>
    <row r="26" customFormat="false" ht="15" hidden="false" customHeight="false" outlineLevel="0" collapsed="false">
      <c r="A26" s="5"/>
      <c r="B26" s="5"/>
      <c r="C26" s="5"/>
      <c r="D26" s="14"/>
      <c r="E26" s="5"/>
      <c r="F26" s="15"/>
      <c r="G26" s="5"/>
      <c r="H26" s="16"/>
      <c r="I26" s="15"/>
      <c r="J26" s="16"/>
      <c r="K26" s="12" t="str">
        <f aca="false">IF(OR(F26="",F26=0,I26=""),"",I26/F26)</f>
        <v/>
      </c>
      <c r="L26" s="12" t="str">
        <f aca="false">IF(OR(H26="",H26=0,J26=""),"",J26/H26)</f>
        <v/>
      </c>
      <c r="M26" s="13" t="str">
        <f aca="false">IF(F26="","",F26-N(I26))</f>
        <v/>
      </c>
      <c r="N26" s="5"/>
      <c r="O26" s="5"/>
      <c r="P26" s="14"/>
      <c r="Q26" s="6" t="str">
        <f aca="true">IF(D26="","",IF(O26="Closed",IF(T26="","",T26-D26),TODAY()-D26))</f>
        <v/>
      </c>
      <c r="R26" s="6" t="str">
        <f aca="true">IF(OR(P26="",O26="Closed"),"",IF(P26&lt;TODAY(),"OVERDUE",IF(P26-TODAY()&lt;=30,"Due soon","On track")))</f>
        <v/>
      </c>
      <c r="S26" s="5"/>
      <c r="T26" s="14"/>
      <c r="U26" s="5"/>
      <c r="V26" s="5"/>
      <c r="W26" s="5"/>
    </row>
    <row r="27" customFormat="false" ht="15" hidden="false" customHeight="false" outlineLevel="0" collapsed="false">
      <c r="A27" s="5"/>
      <c r="B27" s="5"/>
      <c r="C27" s="5"/>
      <c r="D27" s="14"/>
      <c r="E27" s="5"/>
      <c r="F27" s="15"/>
      <c r="G27" s="5"/>
      <c r="H27" s="16"/>
      <c r="I27" s="15"/>
      <c r="J27" s="16"/>
      <c r="K27" s="12" t="str">
        <f aca="false">IF(OR(F27="",F27=0,I27=""),"",I27/F27)</f>
        <v/>
      </c>
      <c r="L27" s="12" t="str">
        <f aca="false">IF(OR(H27="",H27=0,J27=""),"",J27/H27)</f>
        <v/>
      </c>
      <c r="M27" s="13" t="str">
        <f aca="false">IF(F27="","",F27-N(I27))</f>
        <v/>
      </c>
      <c r="N27" s="5"/>
      <c r="O27" s="5"/>
      <c r="P27" s="14"/>
      <c r="Q27" s="6" t="str">
        <f aca="true">IF(D27="","",IF(O27="Closed",IF(T27="","",T27-D27),TODAY()-D27))</f>
        <v/>
      </c>
      <c r="R27" s="6" t="str">
        <f aca="true">IF(OR(P27="",O27="Closed"),"",IF(P27&lt;TODAY(),"OVERDUE",IF(P27-TODAY()&lt;=30,"Due soon","On track")))</f>
        <v/>
      </c>
      <c r="S27" s="5"/>
      <c r="T27" s="14"/>
      <c r="U27" s="5"/>
      <c r="V27" s="5"/>
      <c r="W27" s="5"/>
    </row>
    <row r="28" customFormat="false" ht="15" hidden="false" customHeight="false" outlineLevel="0" collapsed="false">
      <c r="A28" s="5"/>
      <c r="B28" s="5"/>
      <c r="C28" s="5"/>
      <c r="D28" s="14"/>
      <c r="E28" s="5"/>
      <c r="F28" s="15"/>
      <c r="G28" s="5"/>
      <c r="H28" s="16"/>
      <c r="I28" s="15"/>
      <c r="J28" s="16"/>
      <c r="K28" s="12" t="str">
        <f aca="false">IF(OR(F28="",F28=0,I28=""),"",I28/F28)</f>
        <v/>
      </c>
      <c r="L28" s="12" t="str">
        <f aca="false">IF(OR(H28="",H28=0,J28=""),"",J28/H28)</f>
        <v/>
      </c>
      <c r="M28" s="13" t="str">
        <f aca="false">IF(F28="","",F28-N(I28))</f>
        <v/>
      </c>
      <c r="N28" s="5"/>
      <c r="O28" s="5"/>
      <c r="P28" s="14"/>
      <c r="Q28" s="6" t="str">
        <f aca="true">IF(D28="","",IF(O28="Closed",IF(T28="","",T28-D28),TODAY()-D28))</f>
        <v/>
      </c>
      <c r="R28" s="6" t="str">
        <f aca="true">IF(OR(P28="",O28="Closed"),"",IF(P28&lt;TODAY(),"OVERDUE",IF(P28-TODAY()&lt;=30,"Due soon","On track")))</f>
        <v/>
      </c>
      <c r="S28" s="5"/>
      <c r="T28" s="14"/>
      <c r="U28" s="5"/>
      <c r="V28" s="5"/>
      <c r="W28" s="5"/>
    </row>
    <row r="29" customFormat="false" ht="15" hidden="false" customHeight="false" outlineLevel="0" collapsed="false">
      <c r="A29" s="5"/>
      <c r="B29" s="5"/>
      <c r="C29" s="5"/>
      <c r="D29" s="14"/>
      <c r="E29" s="5"/>
      <c r="F29" s="15"/>
      <c r="G29" s="5"/>
      <c r="H29" s="16"/>
      <c r="I29" s="15"/>
      <c r="J29" s="16"/>
      <c r="K29" s="12" t="str">
        <f aca="false">IF(OR(F29="",F29=0,I29=""),"",I29/F29)</f>
        <v/>
      </c>
      <c r="L29" s="12" t="str">
        <f aca="false">IF(OR(H29="",H29=0,J29=""),"",J29/H29)</f>
        <v/>
      </c>
      <c r="M29" s="13" t="str">
        <f aca="false">IF(F29="","",F29-N(I29))</f>
        <v/>
      </c>
      <c r="N29" s="5"/>
      <c r="O29" s="5"/>
      <c r="P29" s="14"/>
      <c r="Q29" s="6" t="str">
        <f aca="true">IF(D29="","",IF(O29="Closed",IF(T29="","",T29-D29),TODAY()-D29))</f>
        <v/>
      </c>
      <c r="R29" s="6" t="str">
        <f aca="true">IF(OR(P29="",O29="Closed"),"",IF(P29&lt;TODAY(),"OVERDUE",IF(P29-TODAY()&lt;=30,"Due soon","On track")))</f>
        <v/>
      </c>
      <c r="S29" s="5"/>
      <c r="T29" s="14"/>
      <c r="U29" s="5"/>
      <c r="V29" s="5"/>
      <c r="W29" s="5"/>
    </row>
    <row r="30" customFormat="false" ht="15" hidden="false" customHeight="false" outlineLevel="0" collapsed="false">
      <c r="A30" s="5"/>
      <c r="B30" s="5"/>
      <c r="C30" s="5"/>
      <c r="D30" s="14"/>
      <c r="E30" s="5"/>
      <c r="F30" s="15"/>
      <c r="G30" s="5"/>
      <c r="H30" s="16"/>
      <c r="I30" s="15"/>
      <c r="J30" s="16"/>
      <c r="K30" s="12" t="str">
        <f aca="false">IF(OR(F30="",F30=0,I30=""),"",I30/F30)</f>
        <v/>
      </c>
      <c r="L30" s="12" t="str">
        <f aca="false">IF(OR(H30="",H30=0,J30=""),"",J30/H30)</f>
        <v/>
      </c>
      <c r="M30" s="13" t="str">
        <f aca="false">IF(F30="","",F30-N(I30))</f>
        <v/>
      </c>
      <c r="N30" s="5"/>
      <c r="O30" s="5"/>
      <c r="P30" s="14"/>
      <c r="Q30" s="6" t="str">
        <f aca="true">IF(D30="","",IF(O30="Closed",IF(T30="","",T30-D30),TODAY()-D30))</f>
        <v/>
      </c>
      <c r="R30" s="6" t="str">
        <f aca="true">IF(OR(P30="",O30="Closed"),"",IF(P30&lt;TODAY(),"OVERDUE",IF(P30-TODAY()&lt;=30,"Due soon","On track")))</f>
        <v/>
      </c>
      <c r="S30" s="5"/>
      <c r="T30" s="14"/>
      <c r="U30" s="5"/>
      <c r="V30" s="5"/>
      <c r="W30" s="5"/>
    </row>
    <row r="31" customFormat="false" ht="15" hidden="false" customHeight="false" outlineLevel="0" collapsed="false">
      <c r="A31" s="5"/>
      <c r="B31" s="5"/>
      <c r="C31" s="5"/>
      <c r="D31" s="14"/>
      <c r="E31" s="5"/>
      <c r="F31" s="15"/>
      <c r="G31" s="5"/>
      <c r="H31" s="16"/>
      <c r="I31" s="15"/>
      <c r="J31" s="16"/>
      <c r="K31" s="12" t="str">
        <f aca="false">IF(OR(F31="",F31=0,I31=""),"",I31/F31)</f>
        <v/>
      </c>
      <c r="L31" s="12" t="str">
        <f aca="false">IF(OR(H31="",H31=0,J31=""),"",J31/H31)</f>
        <v/>
      </c>
      <c r="M31" s="13" t="str">
        <f aca="false">IF(F31="","",F31-N(I31))</f>
        <v/>
      </c>
      <c r="N31" s="5"/>
      <c r="O31" s="5"/>
      <c r="P31" s="14"/>
      <c r="Q31" s="6" t="str">
        <f aca="true">IF(D31="","",IF(O31="Closed",IF(T31="","",T31-D31),TODAY()-D31))</f>
        <v/>
      </c>
      <c r="R31" s="6" t="str">
        <f aca="true">IF(OR(P31="",O31="Closed"),"",IF(P31&lt;TODAY(),"OVERDUE",IF(P31-TODAY()&lt;=30,"Due soon","On track")))</f>
        <v/>
      </c>
      <c r="S31" s="5"/>
      <c r="T31" s="14"/>
      <c r="U31" s="5"/>
      <c r="V31" s="5"/>
      <c r="W31" s="5"/>
    </row>
    <row r="32" customFormat="false" ht="15" hidden="false" customHeight="false" outlineLevel="0" collapsed="false">
      <c r="A32" s="5"/>
      <c r="B32" s="5"/>
      <c r="C32" s="5"/>
      <c r="D32" s="14"/>
      <c r="E32" s="5"/>
      <c r="F32" s="15"/>
      <c r="G32" s="5"/>
      <c r="H32" s="16"/>
      <c r="I32" s="15"/>
      <c r="J32" s="16"/>
      <c r="K32" s="12" t="str">
        <f aca="false">IF(OR(F32="",F32=0,I32=""),"",I32/F32)</f>
        <v/>
      </c>
      <c r="L32" s="12" t="str">
        <f aca="false">IF(OR(H32="",H32=0,J32=""),"",J32/H32)</f>
        <v/>
      </c>
      <c r="M32" s="13" t="str">
        <f aca="false">IF(F32="","",F32-N(I32))</f>
        <v/>
      </c>
      <c r="N32" s="5"/>
      <c r="O32" s="5"/>
      <c r="P32" s="14"/>
      <c r="Q32" s="6" t="str">
        <f aca="true">IF(D32="","",IF(O32="Closed",IF(T32="","",T32-D32),TODAY()-D32))</f>
        <v/>
      </c>
      <c r="R32" s="6" t="str">
        <f aca="true">IF(OR(P32="",O32="Closed"),"",IF(P32&lt;TODAY(),"OVERDUE",IF(P32-TODAY()&lt;=30,"Due soon","On track")))</f>
        <v/>
      </c>
      <c r="S32" s="5"/>
      <c r="T32" s="14"/>
      <c r="U32" s="5"/>
      <c r="V32" s="5"/>
      <c r="W32" s="5"/>
    </row>
    <row r="33" customFormat="false" ht="15" hidden="false" customHeight="false" outlineLevel="0" collapsed="false">
      <c r="A33" s="5"/>
      <c r="B33" s="5"/>
      <c r="C33" s="5"/>
      <c r="D33" s="14"/>
      <c r="E33" s="5"/>
      <c r="F33" s="15"/>
      <c r="G33" s="5"/>
      <c r="H33" s="16"/>
      <c r="I33" s="15"/>
      <c r="J33" s="16"/>
      <c r="K33" s="12" t="str">
        <f aca="false">IF(OR(F33="",F33=0,I33=""),"",I33/F33)</f>
        <v/>
      </c>
      <c r="L33" s="12" t="str">
        <f aca="false">IF(OR(H33="",H33=0,J33=""),"",J33/H33)</f>
        <v/>
      </c>
      <c r="M33" s="13" t="str">
        <f aca="false">IF(F33="","",F33-N(I33))</f>
        <v/>
      </c>
      <c r="N33" s="5"/>
      <c r="O33" s="5"/>
      <c r="P33" s="14"/>
      <c r="Q33" s="6" t="str">
        <f aca="true">IF(D33="","",IF(O33="Closed",IF(T33="","",T33-D33),TODAY()-D33))</f>
        <v/>
      </c>
      <c r="R33" s="6" t="str">
        <f aca="true">IF(OR(P33="",O33="Closed"),"",IF(P33&lt;TODAY(),"OVERDUE",IF(P33-TODAY()&lt;=30,"Due soon","On track")))</f>
        <v/>
      </c>
      <c r="S33" s="5"/>
      <c r="T33" s="14"/>
      <c r="U33" s="5"/>
      <c r="V33" s="5"/>
      <c r="W33" s="5"/>
    </row>
    <row r="34" customFormat="false" ht="15" hidden="false" customHeight="false" outlineLevel="0" collapsed="false">
      <c r="A34" s="5"/>
      <c r="B34" s="5"/>
      <c r="C34" s="5"/>
      <c r="D34" s="14"/>
      <c r="E34" s="5"/>
      <c r="F34" s="15"/>
      <c r="G34" s="5"/>
      <c r="H34" s="16"/>
      <c r="I34" s="15"/>
      <c r="J34" s="16"/>
      <c r="K34" s="12" t="str">
        <f aca="false">IF(OR(F34="",F34=0,I34=""),"",I34/F34)</f>
        <v/>
      </c>
      <c r="L34" s="12" t="str">
        <f aca="false">IF(OR(H34="",H34=0,J34=""),"",J34/H34)</f>
        <v/>
      </c>
      <c r="M34" s="13" t="str">
        <f aca="false">IF(F34="","",F34-N(I34))</f>
        <v/>
      </c>
      <c r="N34" s="5"/>
      <c r="O34" s="5"/>
      <c r="P34" s="14"/>
      <c r="Q34" s="6" t="str">
        <f aca="true">IF(D34="","",IF(O34="Closed",IF(T34="","",T34-D34),TODAY()-D34))</f>
        <v/>
      </c>
      <c r="R34" s="6" t="str">
        <f aca="true">IF(OR(P34="",O34="Closed"),"",IF(P34&lt;TODAY(),"OVERDUE",IF(P34-TODAY()&lt;=30,"Due soon","On track")))</f>
        <v/>
      </c>
      <c r="S34" s="5"/>
      <c r="T34" s="14"/>
      <c r="U34" s="5"/>
      <c r="V34" s="5"/>
      <c r="W34" s="5"/>
    </row>
    <row r="35" customFormat="false" ht="15" hidden="false" customHeight="false" outlineLevel="0" collapsed="false">
      <c r="A35" s="5"/>
      <c r="B35" s="5"/>
      <c r="C35" s="5"/>
      <c r="D35" s="14"/>
      <c r="E35" s="5"/>
      <c r="F35" s="15"/>
      <c r="G35" s="5"/>
      <c r="H35" s="16"/>
      <c r="I35" s="15"/>
      <c r="J35" s="16"/>
      <c r="K35" s="12" t="str">
        <f aca="false">IF(OR(F35="",F35=0,I35=""),"",I35/F35)</f>
        <v/>
      </c>
      <c r="L35" s="12" t="str">
        <f aca="false">IF(OR(H35="",H35=0,J35=""),"",J35/H35)</f>
        <v/>
      </c>
      <c r="M35" s="13" t="str">
        <f aca="false">IF(F35="","",F35-N(I35))</f>
        <v/>
      </c>
      <c r="N35" s="5"/>
      <c r="O35" s="5"/>
      <c r="P35" s="14"/>
      <c r="Q35" s="6" t="str">
        <f aca="true">IF(D35="","",IF(O35="Closed",IF(T35="","",T35-D35),TODAY()-D35))</f>
        <v/>
      </c>
      <c r="R35" s="6" t="str">
        <f aca="true">IF(OR(P35="",O35="Closed"),"",IF(P35&lt;TODAY(),"OVERDUE",IF(P35-TODAY()&lt;=30,"Due soon","On track")))</f>
        <v/>
      </c>
      <c r="S35" s="5"/>
      <c r="T35" s="14"/>
      <c r="U35" s="5"/>
      <c r="V35" s="5"/>
      <c r="W35" s="5"/>
    </row>
    <row r="36" customFormat="false" ht="15" hidden="false" customHeight="false" outlineLevel="0" collapsed="false">
      <c r="A36" s="5"/>
      <c r="B36" s="5"/>
      <c r="C36" s="5"/>
      <c r="D36" s="14"/>
      <c r="E36" s="5"/>
      <c r="F36" s="15"/>
      <c r="G36" s="5"/>
      <c r="H36" s="16"/>
      <c r="I36" s="15"/>
      <c r="J36" s="16"/>
      <c r="K36" s="12" t="str">
        <f aca="false">IF(OR(F36="",F36=0,I36=""),"",I36/F36)</f>
        <v/>
      </c>
      <c r="L36" s="12" t="str">
        <f aca="false">IF(OR(H36="",H36=0,J36=""),"",J36/H36)</f>
        <v/>
      </c>
      <c r="M36" s="13" t="str">
        <f aca="false">IF(F36="","",F36-N(I36))</f>
        <v/>
      </c>
      <c r="N36" s="5"/>
      <c r="O36" s="5"/>
      <c r="P36" s="14"/>
      <c r="Q36" s="6" t="str">
        <f aca="true">IF(D36="","",IF(O36="Closed",IF(T36="","",T36-D36),TODAY()-D36))</f>
        <v/>
      </c>
      <c r="R36" s="6" t="str">
        <f aca="true">IF(OR(P36="",O36="Closed"),"",IF(P36&lt;TODAY(),"OVERDUE",IF(P36-TODAY()&lt;=30,"Due soon","On track")))</f>
        <v/>
      </c>
      <c r="S36" s="5"/>
      <c r="T36" s="14"/>
      <c r="U36" s="5"/>
      <c r="V36" s="5"/>
      <c r="W36" s="5"/>
    </row>
    <row r="37" customFormat="false" ht="15" hidden="false" customHeight="false" outlineLevel="0" collapsed="false">
      <c r="A37" s="5"/>
      <c r="B37" s="5"/>
      <c r="C37" s="5"/>
      <c r="D37" s="14"/>
      <c r="E37" s="5"/>
      <c r="F37" s="15"/>
      <c r="G37" s="5"/>
      <c r="H37" s="16"/>
      <c r="I37" s="15"/>
      <c r="J37" s="16"/>
      <c r="K37" s="12" t="str">
        <f aca="false">IF(OR(F37="",F37=0,I37=""),"",I37/F37)</f>
        <v/>
      </c>
      <c r="L37" s="12" t="str">
        <f aca="false">IF(OR(H37="",H37=0,J37=""),"",J37/H37)</f>
        <v/>
      </c>
      <c r="M37" s="13" t="str">
        <f aca="false">IF(F37="","",F37-N(I37))</f>
        <v/>
      </c>
      <c r="N37" s="5"/>
      <c r="O37" s="5"/>
      <c r="P37" s="14"/>
      <c r="Q37" s="6" t="str">
        <f aca="true">IF(D37="","",IF(O37="Closed",IF(T37="","",T37-D37),TODAY()-D37))</f>
        <v/>
      </c>
      <c r="R37" s="6" t="str">
        <f aca="true">IF(OR(P37="",O37="Closed"),"",IF(P37&lt;TODAY(),"OVERDUE",IF(P37-TODAY()&lt;=30,"Due soon","On track")))</f>
        <v/>
      </c>
      <c r="S37" s="5"/>
      <c r="T37" s="14"/>
      <c r="U37" s="5"/>
      <c r="V37" s="5"/>
      <c r="W37" s="5"/>
    </row>
    <row r="38" customFormat="false" ht="15" hidden="false" customHeight="false" outlineLevel="0" collapsed="false">
      <c r="A38" s="5"/>
      <c r="B38" s="5"/>
      <c r="C38" s="5"/>
      <c r="D38" s="14"/>
      <c r="E38" s="5"/>
      <c r="F38" s="15"/>
      <c r="G38" s="5"/>
      <c r="H38" s="16"/>
      <c r="I38" s="15"/>
      <c r="J38" s="16"/>
      <c r="K38" s="12" t="str">
        <f aca="false">IF(OR(F38="",F38=0,I38=""),"",I38/F38)</f>
        <v/>
      </c>
      <c r="L38" s="12" t="str">
        <f aca="false">IF(OR(H38="",H38=0,J38=""),"",J38/H38)</f>
        <v/>
      </c>
      <c r="M38" s="13" t="str">
        <f aca="false">IF(F38="","",F38-N(I38))</f>
        <v/>
      </c>
      <c r="N38" s="5"/>
      <c r="O38" s="5"/>
      <c r="P38" s="14"/>
      <c r="Q38" s="6" t="str">
        <f aca="true">IF(D38="","",IF(O38="Closed",IF(T38="","",T38-D38),TODAY()-D38))</f>
        <v/>
      </c>
      <c r="R38" s="6" t="str">
        <f aca="true">IF(OR(P38="",O38="Closed"),"",IF(P38&lt;TODAY(),"OVERDUE",IF(P38-TODAY()&lt;=30,"Due soon","On track")))</f>
        <v/>
      </c>
      <c r="S38" s="5"/>
      <c r="T38" s="14"/>
      <c r="U38" s="5"/>
      <c r="V38" s="5"/>
      <c r="W38" s="5"/>
    </row>
    <row r="39" customFormat="false" ht="15" hidden="false" customHeight="false" outlineLevel="0" collapsed="false">
      <c r="A39" s="5"/>
      <c r="B39" s="5"/>
      <c r="C39" s="5"/>
      <c r="D39" s="14"/>
      <c r="E39" s="5"/>
      <c r="F39" s="15"/>
      <c r="G39" s="5"/>
      <c r="H39" s="16"/>
      <c r="I39" s="15"/>
      <c r="J39" s="16"/>
      <c r="K39" s="12" t="str">
        <f aca="false">IF(OR(F39="",F39=0,I39=""),"",I39/F39)</f>
        <v/>
      </c>
      <c r="L39" s="12" t="str">
        <f aca="false">IF(OR(H39="",H39=0,J39=""),"",J39/H39)</f>
        <v/>
      </c>
      <c r="M39" s="13" t="str">
        <f aca="false">IF(F39="","",F39-N(I39))</f>
        <v/>
      </c>
      <c r="N39" s="5"/>
      <c r="O39" s="5"/>
      <c r="P39" s="14"/>
      <c r="Q39" s="6" t="str">
        <f aca="true">IF(D39="","",IF(O39="Closed",IF(T39="","",T39-D39),TODAY()-D39))</f>
        <v/>
      </c>
      <c r="R39" s="6" t="str">
        <f aca="true">IF(OR(P39="",O39="Closed"),"",IF(P39&lt;TODAY(),"OVERDUE",IF(P39-TODAY()&lt;=30,"Due soon","On track")))</f>
        <v/>
      </c>
      <c r="S39" s="5"/>
      <c r="T39" s="14"/>
      <c r="U39" s="5"/>
      <c r="V39" s="5"/>
      <c r="W39" s="5"/>
    </row>
    <row r="40" customFormat="false" ht="15" hidden="false" customHeight="false" outlineLevel="0" collapsed="false">
      <c r="A40" s="5"/>
      <c r="B40" s="5"/>
      <c r="C40" s="5"/>
      <c r="D40" s="14"/>
      <c r="E40" s="5"/>
      <c r="F40" s="15"/>
      <c r="G40" s="5"/>
      <c r="H40" s="16"/>
      <c r="I40" s="15"/>
      <c r="J40" s="16"/>
      <c r="K40" s="12" t="str">
        <f aca="false">IF(OR(F40="",F40=0,I40=""),"",I40/F40)</f>
        <v/>
      </c>
      <c r="L40" s="12" t="str">
        <f aca="false">IF(OR(H40="",H40=0,J40=""),"",J40/H40)</f>
        <v/>
      </c>
      <c r="M40" s="13" t="str">
        <f aca="false">IF(F40="","",F40-N(I40))</f>
        <v/>
      </c>
      <c r="N40" s="5"/>
      <c r="O40" s="5"/>
      <c r="P40" s="14"/>
      <c r="Q40" s="6" t="str">
        <f aca="true">IF(D40="","",IF(O40="Closed",IF(T40="","",T40-D40),TODAY()-D40))</f>
        <v/>
      </c>
      <c r="R40" s="6" t="str">
        <f aca="true">IF(OR(P40="",O40="Closed"),"",IF(P40&lt;TODAY(),"OVERDUE",IF(P40-TODAY()&lt;=30,"Due soon","On track")))</f>
        <v/>
      </c>
      <c r="S40" s="5"/>
      <c r="T40" s="14"/>
      <c r="U40" s="5"/>
      <c r="V40" s="5"/>
      <c r="W40" s="5"/>
    </row>
    <row r="41" customFormat="false" ht="15" hidden="false" customHeight="false" outlineLevel="0" collapsed="false">
      <c r="A41" s="5"/>
      <c r="B41" s="5"/>
      <c r="C41" s="5"/>
      <c r="D41" s="14"/>
      <c r="E41" s="5"/>
      <c r="F41" s="15"/>
      <c r="G41" s="5"/>
      <c r="H41" s="16"/>
      <c r="I41" s="15"/>
      <c r="J41" s="16"/>
      <c r="K41" s="12" t="str">
        <f aca="false">IF(OR(F41="",F41=0,I41=""),"",I41/F41)</f>
        <v/>
      </c>
      <c r="L41" s="12" t="str">
        <f aca="false">IF(OR(H41="",H41=0,J41=""),"",J41/H41)</f>
        <v/>
      </c>
      <c r="M41" s="13" t="str">
        <f aca="false">IF(F41="","",F41-N(I41))</f>
        <v/>
      </c>
      <c r="N41" s="5"/>
      <c r="O41" s="5"/>
      <c r="P41" s="14"/>
      <c r="Q41" s="6" t="str">
        <f aca="true">IF(D41="","",IF(O41="Closed",IF(T41="","",T41-D41),TODAY()-D41))</f>
        <v/>
      </c>
      <c r="R41" s="6" t="str">
        <f aca="true">IF(OR(P41="",O41="Closed"),"",IF(P41&lt;TODAY(),"OVERDUE",IF(P41-TODAY()&lt;=30,"Due soon","On track")))</f>
        <v/>
      </c>
      <c r="S41" s="5"/>
      <c r="T41" s="14"/>
      <c r="U41" s="5"/>
      <c r="V41" s="5"/>
      <c r="W41" s="5"/>
    </row>
    <row r="42" customFormat="false" ht="15" hidden="false" customHeight="false" outlineLevel="0" collapsed="false">
      <c r="A42" s="5"/>
      <c r="B42" s="5"/>
      <c r="C42" s="5"/>
      <c r="D42" s="14"/>
      <c r="E42" s="5"/>
      <c r="F42" s="15"/>
      <c r="G42" s="5"/>
      <c r="H42" s="16"/>
      <c r="I42" s="15"/>
      <c r="J42" s="16"/>
      <c r="K42" s="12" t="str">
        <f aca="false">IF(OR(F42="",F42=0,I42=""),"",I42/F42)</f>
        <v/>
      </c>
      <c r="L42" s="12" t="str">
        <f aca="false">IF(OR(H42="",H42=0,J42=""),"",J42/H42)</f>
        <v/>
      </c>
      <c r="M42" s="13" t="str">
        <f aca="false">IF(F42="","",F42-N(I42))</f>
        <v/>
      </c>
      <c r="N42" s="5"/>
      <c r="O42" s="5"/>
      <c r="P42" s="14"/>
      <c r="Q42" s="6" t="str">
        <f aca="true">IF(D42="","",IF(O42="Closed",IF(T42="","",T42-D42),TODAY()-D42))</f>
        <v/>
      </c>
      <c r="R42" s="6" t="str">
        <f aca="true">IF(OR(P42="",O42="Closed"),"",IF(P42&lt;TODAY(),"OVERDUE",IF(P42-TODAY()&lt;=30,"Due soon","On track")))</f>
        <v/>
      </c>
      <c r="S42" s="5"/>
      <c r="T42" s="14"/>
      <c r="U42" s="5"/>
      <c r="V42" s="5"/>
      <c r="W42" s="5"/>
    </row>
    <row r="43" customFormat="false" ht="15" hidden="false" customHeight="false" outlineLevel="0" collapsed="false">
      <c r="A43" s="5"/>
      <c r="B43" s="5"/>
      <c r="C43" s="5"/>
      <c r="D43" s="14"/>
      <c r="E43" s="5"/>
      <c r="F43" s="15"/>
      <c r="G43" s="5"/>
      <c r="H43" s="16"/>
      <c r="I43" s="15"/>
      <c r="J43" s="16"/>
      <c r="K43" s="12" t="str">
        <f aca="false">IF(OR(F43="",F43=0,I43=""),"",I43/F43)</f>
        <v/>
      </c>
      <c r="L43" s="12" t="str">
        <f aca="false">IF(OR(H43="",H43=0,J43=""),"",J43/H43)</f>
        <v/>
      </c>
      <c r="M43" s="13" t="str">
        <f aca="false">IF(F43="","",F43-N(I43))</f>
        <v/>
      </c>
      <c r="N43" s="5"/>
      <c r="O43" s="5"/>
      <c r="P43" s="14"/>
      <c r="Q43" s="6" t="str">
        <f aca="true">IF(D43="","",IF(O43="Closed",IF(T43="","",T43-D43),TODAY()-D43))</f>
        <v/>
      </c>
      <c r="R43" s="6" t="str">
        <f aca="true">IF(OR(P43="",O43="Closed"),"",IF(P43&lt;TODAY(),"OVERDUE",IF(P43-TODAY()&lt;=30,"Due soon","On track")))</f>
        <v/>
      </c>
      <c r="S43" s="5"/>
      <c r="T43" s="14"/>
      <c r="U43" s="5"/>
      <c r="V43" s="5"/>
      <c r="W43" s="5"/>
    </row>
    <row r="44" customFormat="false" ht="15" hidden="false" customHeight="false" outlineLevel="0" collapsed="false">
      <c r="A44" s="5"/>
      <c r="B44" s="5"/>
      <c r="C44" s="5"/>
      <c r="D44" s="14"/>
      <c r="E44" s="5"/>
      <c r="F44" s="15"/>
      <c r="G44" s="5"/>
      <c r="H44" s="16"/>
      <c r="I44" s="15"/>
      <c r="J44" s="16"/>
      <c r="K44" s="12" t="str">
        <f aca="false">IF(OR(F44="",F44=0,I44=""),"",I44/F44)</f>
        <v/>
      </c>
      <c r="L44" s="12" t="str">
        <f aca="false">IF(OR(H44="",H44=0,J44=""),"",J44/H44)</f>
        <v/>
      </c>
      <c r="M44" s="13" t="str">
        <f aca="false">IF(F44="","",F44-N(I44))</f>
        <v/>
      </c>
      <c r="N44" s="5"/>
      <c r="O44" s="5"/>
      <c r="P44" s="14"/>
      <c r="Q44" s="6" t="str">
        <f aca="true">IF(D44="","",IF(O44="Closed",IF(T44="","",T44-D44),TODAY()-D44))</f>
        <v/>
      </c>
      <c r="R44" s="6" t="str">
        <f aca="true">IF(OR(P44="",O44="Closed"),"",IF(P44&lt;TODAY(),"OVERDUE",IF(P44-TODAY()&lt;=30,"Due soon","On track")))</f>
        <v/>
      </c>
      <c r="S44" s="5"/>
      <c r="T44" s="14"/>
      <c r="U44" s="5"/>
      <c r="V44" s="5"/>
      <c r="W44" s="5"/>
    </row>
  </sheetData>
  <autoFilter ref="A4:W44"/>
  <conditionalFormatting sqref="R5:R44">
    <cfRule type="expression" priority="2" aboveAverage="0" equalAverage="0" bottom="0" percent="0" rank="0" text="" dxfId="6">
      <formula>R5="Green"</formula>
    </cfRule>
    <cfRule type="expression" priority="3" aboveAverage="0" equalAverage="0" bottom="0" percent="0" rank="0" text="" dxfId="7">
      <formula>R5="Amber"</formula>
    </cfRule>
    <cfRule type="expression" priority="4" aboveAverage="0" equalAverage="0" bottom="0" percent="0" rank="0" text="" dxfId="8">
      <formula>R5="Red"</formula>
    </cfRule>
    <cfRule type="expression" priority="5" aboveAverage="0" equalAverage="0" bottom="0" percent="0" rank="0" text="" dxfId="8">
      <formula>R5="OVERDUE"</formula>
    </cfRule>
    <cfRule type="expression" priority="6" aboveAverage="0" equalAverage="0" bottom="0" percent="0" rank="0" text="" dxfId="7">
      <formula>R5="Due soon"</formula>
    </cfRule>
  </conditionalFormatting>
  <dataValidations count="5">
    <dataValidation allowBlank="true" error="Please choose a value from the drop-down list." errorStyle="stop" operator="between" showDropDown="false" showErrorMessage="true" showInputMessage="false" sqref="N5:N44" type="list">
      <formula1>Lists!$C$5:$C$9</formula1>
      <formula2>0</formula2>
    </dataValidation>
    <dataValidation allowBlank="true" error="Please choose a value from the drop-down list." errorStyle="stop" operator="between" showDropDown="false" showErrorMessage="true" showInputMessage="false" sqref="O5:O44" type="list">
      <formula1>Lists!$B$5:$B$10</formula1>
      <formula2>0</formula2>
    </dataValidation>
    <dataValidation allowBlank="true" error="Please choose a value from the drop-down list." errorStyle="stop" operator="between" showDropDown="false" showErrorMessage="true" showInputMessage="false" sqref="S5:S44" type="list">
      <formula1>Lists!$A$5:$A$8</formula1>
      <formula2>0</formula2>
    </dataValidation>
    <dataValidation allowBlank="true" error="Please choose a value from the drop-down list." errorStyle="stop" operator="between" showDropDown="false" showErrorMessage="true" showInputMessage="false" sqref="U5:U44" type="list">
      <formula1>Lists!$A$5:$A$8</formula1>
      <formula2>0</formula2>
    </dataValidation>
    <dataValidation allowBlank="true" error="Please choose a value from the drop-down list." errorStyle="stop" operator="between" showDropDown="false" showErrorMessage="true" showInputMessage="false" sqref="V5:V44" type="list">
      <formula1>Lists!$A$5:$A$8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6"/>
  </cols>
  <sheetData>
    <row r="1" customFormat="false" ht="25.5" hidden="false" customHeight="true" outlineLevel="0" collapsed="false">
      <c r="A1" s="1" t="s">
        <v>52</v>
      </c>
    </row>
    <row r="2" customFormat="false" ht="15" hidden="false" customHeight="false" outlineLevel="0" collapsed="false">
      <c r="A2" s="2" t="s">
        <v>53</v>
      </c>
    </row>
    <row r="4" customFormat="false" ht="31.5" hidden="false" customHeight="true" outlineLevel="0" collapsed="false">
      <c r="A4" s="8" t="s">
        <v>54</v>
      </c>
      <c r="B4" s="8" t="s">
        <v>55</v>
      </c>
    </row>
    <row r="5" customFormat="false" ht="15" hidden="false" customHeight="false" outlineLevel="0" collapsed="false">
      <c r="A5" s="17" t="s">
        <v>56</v>
      </c>
      <c r="B5" s="18" t="n">
        <f aca="false">COUNTA('Remediation tracker'!$A$5:$A$44)</f>
        <v>1</v>
      </c>
    </row>
    <row r="6" customFormat="false" ht="15" hidden="false" customHeight="false" outlineLevel="0" collapsed="false">
      <c r="A6" s="17" t="s">
        <v>57</v>
      </c>
      <c r="B6" s="18" t="n">
        <f aca="false">COUNTA('Remediation tracker'!$A$5:$A$44)-COUNTIF('Remediation tracker'!$O$5:$O$44,"Closed")</f>
        <v>1</v>
      </c>
    </row>
    <row r="7" customFormat="false" ht="15" hidden="false" customHeight="false" outlineLevel="0" collapsed="false">
      <c r="A7" s="17" t="s">
        <v>58</v>
      </c>
      <c r="B7" s="18" t="n">
        <f aca="false">COUNTIF('Remediation tracker'!$R$5:$R$44,"OVERDUE")</f>
        <v>0</v>
      </c>
    </row>
    <row r="8" customFormat="false" ht="15" hidden="false" customHeight="false" outlineLevel="0" collapsed="false">
      <c r="A8" s="17" t="s">
        <v>24</v>
      </c>
      <c r="B8" s="18" t="n">
        <f aca="false">SUM('Remediation tracker'!$F$5:$F$44)</f>
        <v>12000</v>
      </c>
    </row>
    <row r="9" customFormat="false" ht="15" hidden="false" customHeight="false" outlineLevel="0" collapsed="false">
      <c r="A9" s="17" t="s">
        <v>27</v>
      </c>
      <c r="B9" s="18" t="n">
        <f aca="false">SUM('Remediation tracker'!$I$5:$I$44)</f>
        <v>9800</v>
      </c>
    </row>
    <row r="10" customFormat="false" ht="15" hidden="false" customHeight="false" outlineLevel="0" collapsed="false">
      <c r="A10" s="17" t="s">
        <v>59</v>
      </c>
      <c r="B10" s="19" t="n">
        <f aca="false">SUM('Remediation tracker'!$H$5:$H$44)</f>
        <v>1260000</v>
      </c>
    </row>
    <row r="11" customFormat="false" ht="15" hidden="false" customHeight="false" outlineLevel="0" collapsed="false">
      <c r="A11" s="17" t="s">
        <v>28</v>
      </c>
      <c r="B11" s="19" t="n">
        <f aca="false">SUM('Remediation tracker'!$J$5:$J$44)</f>
        <v>1010000</v>
      </c>
    </row>
    <row r="12" customFormat="false" ht="15" hidden="false" customHeight="false" outlineLevel="0" collapsed="false">
      <c r="A12" s="17" t="s">
        <v>60</v>
      </c>
      <c r="B12" s="18" t="n">
        <f aca="false">COUNTIF('Remediation tracker'!$V$5:$V$44,"No")+COUNTIF('Remediation tracker'!$V$5:$V$44,"In progress")</f>
        <v>0</v>
      </c>
    </row>
    <row r="14" customFormat="false" ht="31.5" hidden="false" customHeight="true" outlineLevel="0" collapsed="false">
      <c r="A14" s="8" t="s">
        <v>61</v>
      </c>
      <c r="B14" s="8" t="s">
        <v>62</v>
      </c>
    </row>
    <row r="15" customFormat="false" ht="15" hidden="false" customHeight="false" outlineLevel="0" collapsed="false">
      <c r="A15" s="17" t="s">
        <v>63</v>
      </c>
      <c r="B15" s="18" t="n">
        <f aca="false">COUNTIF('Remediation tracker'!$O$5:$O$44,A15)</f>
        <v>0</v>
      </c>
    </row>
    <row r="16" customFormat="false" ht="15" hidden="false" customHeight="false" outlineLevel="0" collapsed="false">
      <c r="A16" s="17" t="s">
        <v>64</v>
      </c>
      <c r="B16" s="18" t="n">
        <f aca="false">COUNTIF('Remediation tracker'!$O$5:$O$44,A16)</f>
        <v>0</v>
      </c>
    </row>
    <row r="17" customFormat="false" ht="15" hidden="false" customHeight="false" outlineLevel="0" collapsed="false">
      <c r="A17" s="17" t="s">
        <v>65</v>
      </c>
      <c r="B17" s="18" t="n">
        <f aca="false">COUNTIF('Remediation tracker'!$O$5:$O$44,A17)</f>
        <v>0</v>
      </c>
    </row>
    <row r="18" customFormat="false" ht="15" hidden="false" customHeight="false" outlineLevel="0" collapsed="false">
      <c r="A18" s="17" t="s">
        <v>48</v>
      </c>
      <c r="B18" s="18" t="n">
        <f aca="false">COUNTIF('Remediation tracker'!$O$5:$O$44,A18)</f>
        <v>1</v>
      </c>
    </row>
    <row r="19" customFormat="false" ht="15" hidden="false" customHeight="false" outlineLevel="0" collapsed="false">
      <c r="A19" s="17" t="s">
        <v>66</v>
      </c>
      <c r="B19" s="18" t="n">
        <f aca="false">COUNTIF('Remediation tracker'!$O$5:$O$44,A19)</f>
        <v>0</v>
      </c>
    </row>
    <row r="20" customFormat="false" ht="15" hidden="false" customHeight="false" outlineLevel="0" collapsed="false">
      <c r="A20" s="17" t="s">
        <v>67</v>
      </c>
      <c r="B20" s="18" t="n">
        <f aca="false">COUNTIF('Remediation tracker'!$O$5:$O$44,A20)</f>
        <v>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3" min="1" style="0" width="28"/>
  </cols>
  <sheetData>
    <row r="1" customFormat="false" ht="25.5" hidden="false" customHeight="true" outlineLevel="0" collapsed="false">
      <c r="A1" s="1" t="s">
        <v>68</v>
      </c>
    </row>
    <row r="2" customFormat="false" ht="15" hidden="false" customHeight="false" outlineLevel="0" collapsed="false">
      <c r="A2" s="2" t="s">
        <v>69</v>
      </c>
    </row>
    <row r="4" customFormat="false" ht="15" hidden="false" customHeight="false" outlineLevel="0" collapsed="false">
      <c r="A4" s="20" t="s">
        <v>70</v>
      </c>
      <c r="B4" s="20" t="s">
        <v>33</v>
      </c>
      <c r="C4" s="20" t="s">
        <v>32</v>
      </c>
    </row>
    <row r="5" customFormat="false" ht="15" hidden="false" customHeight="false" outlineLevel="0" collapsed="false">
      <c r="A5" s="5" t="s">
        <v>49</v>
      </c>
      <c r="B5" s="5" t="s">
        <v>63</v>
      </c>
      <c r="C5" s="5" t="s">
        <v>47</v>
      </c>
    </row>
    <row r="6" customFormat="false" ht="23.85" hidden="false" customHeight="false" outlineLevel="0" collapsed="false">
      <c r="A6" s="5" t="s">
        <v>71</v>
      </c>
      <c r="B6" s="5" t="s">
        <v>64</v>
      </c>
      <c r="C6" s="5" t="s">
        <v>72</v>
      </c>
    </row>
    <row r="7" customFormat="false" ht="23.85" hidden="false" customHeight="false" outlineLevel="0" collapsed="false">
      <c r="A7" s="5" t="s">
        <v>50</v>
      </c>
      <c r="B7" s="5" t="s">
        <v>65</v>
      </c>
      <c r="C7" s="5" t="s">
        <v>73</v>
      </c>
    </row>
    <row r="8" customFormat="false" ht="15" hidden="false" customHeight="false" outlineLevel="0" collapsed="false">
      <c r="A8" s="5" t="s">
        <v>74</v>
      </c>
      <c r="B8" s="5" t="s">
        <v>48</v>
      </c>
      <c r="C8" s="5" t="s">
        <v>75</v>
      </c>
    </row>
    <row r="9" customFormat="false" ht="15" hidden="false" customHeight="false" outlineLevel="0" collapsed="false">
      <c r="B9" s="5" t="s">
        <v>66</v>
      </c>
      <c r="C9" s="5" t="s">
        <v>76</v>
      </c>
    </row>
    <row r="10" customFormat="false" ht="15" hidden="false" customHeight="false" outlineLevel="0" collapsed="false">
      <c r="B10" s="5" t="s">
        <v>67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2026-09-28T05:53:10Z</dcterms:created>
  <dc:creator>openpyxl</dc:creator>
  <dc:description/>
  <dc:language>en-US</dc:language>
  <cp:lastModifiedBy/>
  <dcterms:modified xsi:type="dcterms:W3CDTF">2026-09-28T05:53:10Z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