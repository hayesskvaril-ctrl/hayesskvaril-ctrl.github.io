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PS 230" sheetId="2" state="visible" r:id="rId2"/>
    <sheet xmlns:r="http://schemas.openxmlformats.org/officeDocument/2006/relationships" name="Breach reporting" sheetId="3" state="visible" r:id="rId3"/>
    <sheet xmlns:r="http://schemas.openxmlformats.org/officeDocument/2006/relationships" name="Complaints (IDR)" sheetId="4" state="visible" r:id="rId4"/>
    <sheet xmlns:r="http://schemas.openxmlformats.org/officeDocument/2006/relationships" name="DDO" sheetId="5" state="visible" r:id="rId5"/>
    <sheet xmlns:r="http://schemas.openxmlformats.org/officeDocument/2006/relationships" name="Whistleblower" sheetId="6" state="visible" r:id="rId6"/>
    <sheet xmlns:r="http://schemas.openxmlformats.org/officeDocument/2006/relationships" name="Privacy" sheetId="7" state="visible" r:id="rId7"/>
    <sheet xmlns:r="http://schemas.openxmlformats.org/officeDocument/2006/relationships" name="Lists" sheetId="8" state="visible" r:id="rId8"/>
  </sheets>
  <definedNames/>
  <calcPr calcId="124519" fullCalcOnLoad="1"/>
</workbook>
</file>

<file path=xl/styles.xml><?xml version="1.0" encoding="utf-8"?>
<styleSheet xmlns="http://schemas.openxmlformats.org/spreadsheetml/2006/main">
  <numFmts count="1">
    <numFmt numFmtId="164" formatCode="DD/MM/YYYY"/>
  </numFmts>
  <fonts count="8">
    <font>
      <name val="Calibri"/>
      <family val="2"/>
      <color theme="1"/>
      <sz val="11"/>
      <scheme val="minor"/>
    </font>
    <font>
      <name val="Arial"/>
      <b val="1"/>
      <color rgb="000F2942"/>
      <sz val="16"/>
    </font>
    <font>
      <name val="Arial"/>
      <i val="1"/>
      <color rgb="004A5568"/>
      <sz val="10"/>
    </font>
    <font>
      <name val="Arial"/>
      <b val="1"/>
      <color rgb="00FFFFFF"/>
      <sz val="10"/>
    </font>
    <font>
      <name val="Arial"/>
      <color rgb="001D4ED8"/>
      <sz val="9"/>
    </font>
    <font>
      <name val="Arial"/>
      <color rgb="00000000"/>
      <sz val="10"/>
    </font>
    <font>
      <name val="Arial"/>
      <i val="1"/>
      <color rgb="0015803D"/>
      <sz val="9"/>
    </font>
    <font>
      <name val="Arial"/>
      <i val="1"/>
      <color rgb="004A5568"/>
      <sz val="9"/>
    </font>
  </fonts>
  <fills count="6">
    <fill>
      <patternFill/>
    </fill>
    <fill>
      <patternFill patternType="gray125"/>
    </fill>
    <fill>
      <patternFill patternType="solid">
        <fgColor rgb="000F2942"/>
      </patternFill>
    </fill>
    <fill>
      <patternFill patternType="solid">
        <fgColor rgb="00FFF7D6"/>
      </patternFill>
    </fill>
    <fill>
      <patternFill patternType="solid">
        <fgColor rgb="00E7F6EC"/>
      </patternFill>
    </fill>
    <fill>
      <patternFill patternType="solid">
        <fgColor rgb="00EEF2F7"/>
      </patternFill>
    </fill>
  </fills>
  <borders count="2">
    <border>
      <left/>
      <right/>
      <top/>
      <bottom/>
      <diagonal/>
    </border>
    <border>
      <left style="thin">
        <color rgb="00C9D3E0"/>
      </left>
      <right style="thin">
        <color rgb="00C9D3E0"/>
      </right>
      <top style="thin">
        <color rgb="00C9D3E0"/>
      </top>
      <bottom style="thin">
        <color rgb="00C9D3E0"/>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3" fillId="2" borderId="1" applyAlignment="1" pivotButton="0" quotePrefix="0" xfId="0">
      <alignment vertical="center" wrapText="1"/>
    </xf>
    <xf numFmtId="0" fontId="5" fillId="0" borderId="1" applyAlignment="1" pivotButton="0" quotePrefix="0" xfId="0">
      <alignment vertical="top" wrapText="1"/>
    </xf>
    <xf numFmtId="0" fontId="5" fillId="0" borderId="1" applyAlignment="1" pivotButton="0" quotePrefix="0" xfId="0">
      <alignment horizontal="center" vertical="top" wrapText="1"/>
    </xf>
    <xf numFmtId="0" fontId="5" fillId="5" borderId="1" applyAlignment="1" pivotButton="0" quotePrefix="0" xfId="0">
      <alignment horizontal="center" vertical="top" wrapText="1"/>
    </xf>
    <xf numFmtId="9" fontId="5" fillId="5" borderId="1" applyAlignment="1" pivotButton="0" quotePrefix="0" xfId="0">
      <alignment horizontal="center" vertical="top" wrapText="1"/>
    </xf>
    <xf numFmtId="0" fontId="7" fillId="0" borderId="0" applyAlignment="1" pivotButton="0" quotePrefix="0" xfId="0">
      <alignment vertical="top" wrapText="1"/>
    </xf>
    <xf numFmtId="0" fontId="4" fillId="0" borderId="0" pivotButton="0" quotePrefix="0" xfId="0"/>
    <xf numFmtId="0" fontId="6" fillId="0" borderId="0" pivotButton="0" quotePrefix="0" xfId="0"/>
    <xf numFmtId="0" fontId="5" fillId="4" borderId="1" applyAlignment="1" pivotButton="0" quotePrefix="0" xfId="0">
      <alignment vertical="top" wrapText="1"/>
    </xf>
    <xf numFmtId="164" fontId="5" fillId="4" borderId="1" applyAlignment="1" pivotButton="0" quotePrefix="0" xfId="0">
      <alignment vertical="top" wrapText="1"/>
    </xf>
    <xf numFmtId="0" fontId="5" fillId="3" borderId="1" applyAlignment="1" pivotButton="0" quotePrefix="0" xfId="0">
      <alignment vertical="top" wrapText="1"/>
    </xf>
    <xf numFmtId="164" fontId="5" fillId="3" borderId="1" applyAlignment="1" pivotButton="0" quotePrefix="0" xfId="0">
      <alignment vertical="top" wrapText="1"/>
    </xf>
  </cellXfs>
  <cellStyles count="1">
    <cellStyle name="Normal" xfId="0" builtinId="0" hidden="0"/>
  </cellStyles>
  <dxfs count="3">
    <dxf>
      <fill>
        <patternFill patternType="solid">
          <fgColor rgb="00BFE5CB"/>
        </patternFill>
      </fill>
    </dxf>
    <dxf>
      <fill>
        <patternFill patternType="solid">
          <fgColor rgb="00FDE68A"/>
        </patternFill>
      </fill>
    </dxf>
    <dxf>
      <fill>
        <patternFill patternType="solid">
          <fgColor rgb="00FCA5A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3"/>
  <sheetViews>
    <sheetView workbookViewId="0">
      <selection activeCell="A1" sqref="A1"/>
    </sheetView>
  </sheetViews>
  <sheetFormatPr baseColWidth="8" defaultRowHeight="15"/>
  <cols>
    <col width="44" customWidth="1" min="1" max="1"/>
    <col width="8" customWidth="1" min="2" max="2"/>
    <col width="8" customWidth="1" min="3" max="3"/>
    <col width="11" customWidth="1" min="4" max="4"/>
    <col width="9" customWidth="1" min="5" max="5"/>
    <col width="14" customWidth="1" min="6" max="6"/>
    <col width="13" customWidth="1" min="7" max="7"/>
    <col width="18" customWidth="1" min="8" max="8"/>
  </cols>
  <sheetData>
    <row r="1" ht="26" customHeight="1">
      <c r="A1" s="1" t="inlineStr">
        <is>
          <t>Regulatory obligation checklists</t>
        </is>
      </c>
    </row>
    <row r="2">
      <c r="A2" s="2" t="inlineStr">
        <is>
          <t>RiskLens Australia · free template · version 1.0 (September 2026)</t>
        </is>
      </c>
    </row>
    <row r="3" ht="30" customHeight="1">
      <c r="A3" s="3" t="inlineStr">
        <is>
          <t>How to use: on each checklist tab, choose a status for every item, note the evidence, and assign owners and actions for gaps. This summary updates automatically. Pale yellow cells are for your entries.</t>
        </is>
      </c>
    </row>
    <row r="5" ht="32" customHeight="1">
      <c r="A5" s="4" t="inlineStr">
        <is>
          <t>Checklist</t>
        </is>
      </c>
      <c r="B5" s="4" t="inlineStr">
        <is>
          <t>Items</t>
        </is>
      </c>
      <c r="C5" s="4" t="inlineStr">
        <is>
          <t>Met</t>
        </is>
      </c>
      <c r="D5" s="4" t="inlineStr">
        <is>
          <t>Partly met</t>
        </is>
      </c>
      <c r="E5" s="4" t="inlineStr">
        <is>
          <t>Not met</t>
        </is>
      </c>
      <c r="F5" s="4" t="inlineStr">
        <is>
          <t>Not applicable</t>
        </is>
      </c>
      <c r="G5" s="4" t="inlineStr">
        <is>
          <t>Not assessed</t>
        </is>
      </c>
      <c r="H5" s="4" t="inlineStr">
        <is>
          <t>% met (of applicable)</t>
        </is>
      </c>
    </row>
    <row r="6">
      <c r="A6" s="5" t="inlineStr">
        <is>
          <t>CPS 230 Operational risk management</t>
        </is>
      </c>
      <c r="B6" s="6" t="n">
        <v>18</v>
      </c>
      <c r="C6" s="7">
        <f>COUNTIF('CPS 230'!$D$6:$D$23,"Met")</f>
        <v/>
      </c>
      <c r="D6" s="7">
        <f>COUNTIF('CPS 230'!$D$6:$D$23,"Partly met")</f>
        <v/>
      </c>
      <c r="E6" s="7">
        <f>COUNTIF('CPS 230'!$D$6:$D$23,"Not met")</f>
        <v/>
      </c>
      <c r="F6" s="7">
        <f>COUNTIF('CPS 230'!$D$6:$D$23,"Not applicable")</f>
        <v/>
      </c>
      <c r="G6" s="7">
        <f>COUNTIF('CPS 230'!$D$6:$D$23,"Not assessed")</f>
        <v/>
      </c>
      <c r="H6" s="8">
        <f>IF((B6-F6)=0,"",C6/(B6-F6))</f>
        <v/>
      </c>
    </row>
    <row r="7">
      <c r="A7" s="5" t="inlineStr">
        <is>
          <t>Breach reporting readiness (ASIC reportable situations)</t>
        </is>
      </c>
      <c r="B7" s="6" t="n">
        <v>13</v>
      </c>
      <c r="C7" s="7">
        <f>COUNTIF('Breach reporting'!$D$6:$D$18,"Met")</f>
        <v/>
      </c>
      <c r="D7" s="7">
        <f>COUNTIF('Breach reporting'!$D$6:$D$18,"Partly met")</f>
        <v/>
      </c>
      <c r="E7" s="7">
        <f>COUNTIF('Breach reporting'!$D$6:$D$18,"Not met")</f>
        <v/>
      </c>
      <c r="F7" s="7">
        <f>COUNTIF('Breach reporting'!$D$6:$D$18,"Not applicable")</f>
        <v/>
      </c>
      <c r="G7" s="7">
        <f>COUNTIF('Breach reporting'!$D$6:$D$18,"Not assessed")</f>
        <v/>
      </c>
      <c r="H7" s="8">
        <f>IF((B7-F7)=0,"",C7/(B7-F7))</f>
        <v/>
      </c>
    </row>
    <row r="8">
      <c r="A8" s="5" t="inlineStr">
        <is>
          <t>Complaints handling (IDR, RG 271)</t>
        </is>
      </c>
      <c r="B8" s="6" t="n">
        <v>11</v>
      </c>
      <c r="C8" s="7">
        <f>COUNTIF('Complaints (IDR)'!$D$6:$D$16,"Met")</f>
        <v/>
      </c>
      <c r="D8" s="7">
        <f>COUNTIF('Complaints (IDR)'!$D$6:$D$16,"Partly met")</f>
        <v/>
      </c>
      <c r="E8" s="7">
        <f>COUNTIF('Complaints (IDR)'!$D$6:$D$16,"Not met")</f>
        <v/>
      </c>
      <c r="F8" s="7">
        <f>COUNTIF('Complaints (IDR)'!$D$6:$D$16,"Not applicable")</f>
        <v/>
      </c>
      <c r="G8" s="7">
        <f>COUNTIF('Complaints (IDR)'!$D$6:$D$16,"Not assessed")</f>
        <v/>
      </c>
      <c r="H8" s="8">
        <f>IF((B8-F8)=0,"",C8/(B8-F8))</f>
        <v/>
      </c>
    </row>
    <row r="9">
      <c r="A9" s="5" t="inlineStr">
        <is>
          <t>Design and distribution obligations (RG 274)</t>
        </is>
      </c>
      <c r="B9" s="6" t="n">
        <v>9</v>
      </c>
      <c r="C9" s="7">
        <f>COUNTIF('DDO'!$D$6:$D$14,"Met")</f>
        <v/>
      </c>
      <c r="D9" s="7">
        <f>COUNTIF('DDO'!$D$6:$D$14,"Partly met")</f>
        <v/>
      </c>
      <c r="E9" s="7">
        <f>COUNTIF('DDO'!$D$6:$D$14,"Not met")</f>
        <v/>
      </c>
      <c r="F9" s="7">
        <f>COUNTIF('DDO'!$D$6:$D$14,"Not applicable")</f>
        <v/>
      </c>
      <c r="G9" s="7">
        <f>COUNTIF('DDO'!$D$6:$D$14,"Not assessed")</f>
        <v/>
      </c>
      <c r="H9" s="8">
        <f>IF((B9-F9)=0,"",C9/(B9-F9))</f>
        <v/>
      </c>
    </row>
    <row r="10">
      <c r="A10" s="5" t="inlineStr">
        <is>
          <t>Whistleblower program (Part 9.4AAA, RG 270)</t>
        </is>
      </c>
      <c r="B10" s="6" t="n">
        <v>11</v>
      </c>
      <c r="C10" s="7">
        <f>COUNTIF('Whistleblower'!$D$6:$D$16,"Met")</f>
        <v/>
      </c>
      <c r="D10" s="7">
        <f>COUNTIF('Whistleblower'!$D$6:$D$16,"Partly met")</f>
        <v/>
      </c>
      <c r="E10" s="7">
        <f>COUNTIF('Whistleblower'!$D$6:$D$16,"Not met")</f>
        <v/>
      </c>
      <c r="F10" s="7">
        <f>COUNTIF('Whistleblower'!$D$6:$D$16,"Not applicable")</f>
        <v/>
      </c>
      <c r="G10" s="7">
        <f>COUNTIF('Whistleblower'!$D$6:$D$16,"Not assessed")</f>
        <v/>
      </c>
      <c r="H10" s="8">
        <f>IF((B10-F10)=0,"",C10/(B10-F10))</f>
        <v/>
      </c>
    </row>
    <row r="11">
      <c r="A11" s="5" t="inlineStr">
        <is>
          <t>Privacy and data breach readiness</t>
        </is>
      </c>
      <c r="B11" s="6" t="n">
        <v>12</v>
      </c>
      <c r="C11" s="7">
        <f>COUNTIF('Privacy'!$D$6:$D$17,"Met")</f>
        <v/>
      </c>
      <c r="D11" s="7">
        <f>COUNTIF('Privacy'!$D$6:$D$17,"Partly met")</f>
        <v/>
      </c>
      <c r="E11" s="7">
        <f>COUNTIF('Privacy'!$D$6:$D$17,"Not met")</f>
        <v/>
      </c>
      <c r="F11" s="7">
        <f>COUNTIF('Privacy'!$D$6:$D$17,"Not applicable")</f>
        <v/>
      </c>
      <c r="G11" s="7">
        <f>COUNTIF('Privacy'!$D$6:$D$17,"Not assessed")</f>
        <v/>
      </c>
      <c r="H11" s="8">
        <f>IF((B11-F11)=0,"",C11/(B11-F11))</f>
        <v/>
      </c>
    </row>
    <row r="13" ht="40" customHeight="1">
      <c r="A13" s="9" t="inlineStr">
        <is>
          <t>RiskLens Australia provides general educational information only. It is not legal, financial or compliance advice and does not take into account your circumstances. Always refer to the official legislation and regulator guidance, and seek professional advice where appropriate.</t>
        </is>
      </c>
    </row>
  </sheetData>
  <mergeCells count="2">
    <mergeCell ref="A3:H3"/>
    <mergeCell ref="A13:H13"/>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H23"/>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CPS 230 Operational risk management</t>
        </is>
      </c>
    </row>
    <row r="2">
      <c r="A2" s="2" t="inlineStr">
        <is>
          <t>Applies to: APRA-regulated banks, insurers and super trustees (in force since 1 July 2025).</t>
        </is>
      </c>
    </row>
    <row r="3">
      <c r="A3" s="10" t="inlineStr">
        <is>
          <t>Explainer: https://hayesskvaril-ctrl.github.io/standards/cps-230.html</t>
        </is>
      </c>
    </row>
    <row r="4">
      <c r="A4" s="11" t="inlineStr">
        <is>
          <t>Green row = worked example. Replace it with your own assessment.</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The board is ultimately accountable for operational risk and oversees it; senior management is responsible for implementation.</t>
        </is>
      </c>
      <c r="C6" s="5" t="inlineStr">
        <is>
          <t>CPS 230: roles</t>
        </is>
      </c>
      <c r="D6" s="12" t="inlineStr">
        <is>
          <t>Partly met</t>
        </is>
      </c>
      <c r="E6" s="12" t="inlineStr">
        <is>
          <t>Board approved the framework (minutes 12/05/2026); roles documented in the RMS.</t>
        </is>
      </c>
      <c r="F6" s="12" t="inlineStr">
        <is>
          <t>Chief Risk Officer</t>
        </is>
      </c>
      <c r="G6" s="12" t="inlineStr">
        <is>
          <t>Add CPS 230 roles to senior managers' accountability statements.</t>
        </is>
      </c>
      <c r="H6" s="13" t="n">
        <v>46387</v>
      </c>
    </row>
    <row r="7">
      <c r="A7" s="6" t="n">
        <v>2</v>
      </c>
      <c r="B7" s="5" t="inlineStr">
        <is>
          <t>Operational risk management is part of the CPS 220 / SPS 220 risk management framework.</t>
        </is>
      </c>
      <c r="C7" s="5" t="inlineStr">
        <is>
          <t>CPS 230, CPS 220</t>
        </is>
      </c>
      <c r="D7" s="14" t="inlineStr">
        <is>
          <t>Not assessed</t>
        </is>
      </c>
      <c r="E7" s="14" t="n"/>
      <c r="F7" s="14" t="n"/>
      <c r="G7" s="14" t="n"/>
      <c r="H7" s="15" t="n"/>
    </row>
    <row r="8">
      <c r="A8" s="6" t="n">
        <v>3</v>
      </c>
      <c r="B8" s="5" t="inlineStr">
        <is>
          <t>Operational risks are identified and assessed, including legal, regulatory, compliance, conduct, technology, data and change risks.</t>
        </is>
      </c>
      <c r="C8" s="5" t="inlineStr">
        <is>
          <t>CPS 230: operational risk</t>
        </is>
      </c>
      <c r="D8" s="14" t="inlineStr">
        <is>
          <t>Not assessed</t>
        </is>
      </c>
      <c r="E8" s="14" t="n"/>
      <c r="F8" s="14" t="n"/>
      <c r="G8" s="14" t="n"/>
      <c r="H8" s="15" t="n"/>
    </row>
    <row r="9">
      <c r="A9" s="6" t="n">
        <v>4</v>
      </c>
      <c r="B9" s="5" t="inlineStr">
        <is>
          <t>Key controls are designed and embedded, and regularly monitored, reviewed and tested for design and operating effectiveness.</t>
        </is>
      </c>
      <c r="C9" s="5" t="inlineStr">
        <is>
          <t>CPS 230: controls</t>
        </is>
      </c>
      <c r="D9" s="14" t="inlineStr">
        <is>
          <t>Not assessed</t>
        </is>
      </c>
      <c r="E9" s="14" t="n"/>
      <c r="F9" s="14" t="n"/>
      <c r="G9" s="14" t="n"/>
      <c r="H9" s="15" t="n"/>
    </row>
    <row r="10">
      <c r="A10" s="6" t="n">
        <v>5</v>
      </c>
      <c r="B10" s="5" t="inlineStr">
        <is>
          <t>Control weaknesses stay in the risk profile until fixed, and root causes are addressed.</t>
        </is>
      </c>
      <c r="C10" s="5" t="inlineStr">
        <is>
          <t>CPS 230: controls</t>
        </is>
      </c>
      <c r="D10" s="14" t="inlineStr">
        <is>
          <t>Not assessed</t>
        </is>
      </c>
      <c r="E10" s="14" t="n"/>
      <c r="F10" s="14" t="n"/>
      <c r="G10" s="14" t="n"/>
      <c r="H10" s="15" t="n"/>
    </row>
    <row r="11">
      <c r="A11" s="6" t="n">
        <v>6</v>
      </c>
      <c r="B11" s="5" t="inlineStr">
        <is>
          <t>Operational risk incidents and near misses are identified, escalated, recorded and addressed.</t>
        </is>
      </c>
      <c r="C11" s="5" t="inlineStr">
        <is>
          <t>CPS 230: incidents</t>
        </is>
      </c>
      <c r="D11" s="14" t="inlineStr">
        <is>
          <t>Not assessed</t>
        </is>
      </c>
      <c r="E11" s="14" t="n"/>
      <c r="F11" s="14" t="n"/>
      <c r="G11" s="14" t="n"/>
      <c r="H11" s="15" t="n"/>
    </row>
    <row r="12">
      <c r="A12" s="6" t="n">
        <v>7</v>
      </c>
      <c r="B12" s="5" t="inlineStr">
        <is>
          <t>A process exists to notify APRA of material operational risk incidents within 72 hours of becoming aware.</t>
        </is>
      </c>
      <c r="C12" s="5" t="inlineStr">
        <is>
          <t>CPS 230: notification</t>
        </is>
      </c>
      <c r="D12" s="14" t="inlineStr">
        <is>
          <t>Not assessed</t>
        </is>
      </c>
      <c r="E12" s="14" t="n"/>
      <c r="F12" s="14" t="n"/>
      <c r="G12" s="14" t="n"/>
      <c r="H12" s="15" t="n"/>
    </row>
    <row r="13">
      <c r="A13" s="6" t="n">
        <v>8</v>
      </c>
      <c r="B13" s="5" t="inlineStr">
        <is>
          <t>Critical operations are identified, including those APRA deems critical unless justified otherwise.</t>
        </is>
      </c>
      <c r="C13" s="5" t="inlineStr">
        <is>
          <t>CPS 230: critical operations</t>
        </is>
      </c>
      <c r="D13" s="14" t="inlineStr">
        <is>
          <t>Not assessed</t>
        </is>
      </c>
      <c r="E13" s="14" t="n"/>
      <c r="F13" s="14" t="n"/>
      <c r="G13" s="14" t="n"/>
      <c r="H13" s="15" t="n"/>
    </row>
    <row r="14">
      <c r="A14" s="6" t="n">
        <v>9</v>
      </c>
      <c r="B14" s="5" t="inlineStr">
        <is>
          <t>The board has approved tolerance levels for each critical operation (e.g. maximum disruption period, data loss and minimum service levels).</t>
        </is>
      </c>
      <c r="C14" s="5" t="inlineStr">
        <is>
          <t>CPS 230: tolerance levels</t>
        </is>
      </c>
      <c r="D14" s="14" t="inlineStr">
        <is>
          <t>Not assessed</t>
        </is>
      </c>
      <c r="E14" s="14" t="n"/>
      <c r="F14" s="14" t="n"/>
      <c r="G14" s="14" t="n"/>
      <c r="H14" s="15" t="n"/>
    </row>
    <row r="15">
      <c r="A15" s="6" t="n">
        <v>10</v>
      </c>
      <c r="B15" s="5" t="inlineStr">
        <is>
          <t>A credible business continuity plan is maintained for staying within tolerance through severe disruption.</t>
        </is>
      </c>
      <c r="C15" s="5" t="inlineStr">
        <is>
          <t>CPS 230: BCP</t>
        </is>
      </c>
      <c r="D15" s="14" t="inlineStr">
        <is>
          <t>Not assessed</t>
        </is>
      </c>
      <c r="E15" s="14" t="n"/>
      <c r="F15" s="14" t="n"/>
      <c r="G15" s="14" t="n"/>
      <c r="H15" s="15" t="n"/>
    </row>
    <row r="16">
      <c r="A16" s="6" t="n">
        <v>11</v>
      </c>
      <c r="B16" s="5" t="inlineStr">
        <is>
          <t>There is a systematic testing program, including an annual exercise with severe but plausible scenarios (including a service provider failure).</t>
        </is>
      </c>
      <c r="C16" s="5" t="inlineStr">
        <is>
          <t>CPS 230: BCP testing</t>
        </is>
      </c>
      <c r="D16" s="14" t="inlineStr">
        <is>
          <t>Not assessed</t>
        </is>
      </c>
      <c r="E16" s="14" t="n"/>
      <c r="F16" s="14" t="n"/>
      <c r="G16" s="14" t="n"/>
      <c r="H16" s="15" t="n"/>
    </row>
    <row r="17">
      <c r="A17" s="6" t="n">
        <v>12</v>
      </c>
      <c r="B17" s="5" t="inlineStr">
        <is>
          <t>A process exists to notify APRA within 24 hours of a disruption to a critical operation outside tolerance.</t>
        </is>
      </c>
      <c r="C17" s="5" t="inlineStr">
        <is>
          <t>CPS 230: notification</t>
        </is>
      </c>
      <c r="D17" s="14" t="inlineStr">
        <is>
          <t>Not assessed</t>
        </is>
      </c>
      <c r="E17" s="14" t="n"/>
      <c r="F17" s="14" t="n"/>
      <c r="G17" s="14" t="n"/>
      <c r="H17" s="15" t="n"/>
    </row>
    <row r="18">
      <c r="A18" s="6" t="n">
        <v>13</v>
      </c>
      <c r="B18" s="5" t="inlineStr">
        <is>
          <t>There is a comprehensive service provider management policy.</t>
        </is>
      </c>
      <c r="C18" s="5" t="inlineStr">
        <is>
          <t>CPS 230: service providers</t>
        </is>
      </c>
      <c r="D18" s="14" t="inlineStr">
        <is>
          <t>Not assessed</t>
        </is>
      </c>
      <c r="E18" s="14" t="n"/>
      <c r="F18" s="14" t="n"/>
      <c r="G18" s="14" t="n"/>
      <c r="H18" s="15" t="n"/>
    </row>
    <row r="19">
      <c r="A19" s="6" t="n">
        <v>14</v>
      </c>
      <c r="B19" s="5" t="inlineStr">
        <is>
          <t>Material service providers are identified, and a register is maintained and submitted to APRA annually.</t>
        </is>
      </c>
      <c r="C19" s="5" t="inlineStr">
        <is>
          <t>CPS 230: service providers</t>
        </is>
      </c>
      <c r="D19" s="14" t="inlineStr">
        <is>
          <t>Not assessed</t>
        </is>
      </c>
      <c r="E19" s="14" t="n"/>
      <c r="F19" s="14" t="n"/>
      <c r="G19" s="14" t="n"/>
      <c r="H19" s="15" t="n"/>
    </row>
    <row r="20">
      <c r="A20" s="6" t="n">
        <v>15</v>
      </c>
      <c r="B20" s="5" t="inlineStr">
        <is>
          <t>Due diligence is done before entering or materially changing material arrangements.</t>
        </is>
      </c>
      <c r="C20" s="5" t="inlineStr">
        <is>
          <t>CPS 230: service providers</t>
        </is>
      </c>
      <c r="D20" s="14" t="inlineStr">
        <is>
          <t>Not assessed</t>
        </is>
      </c>
      <c r="E20" s="14" t="n"/>
      <c r="F20" s="14" t="n"/>
      <c r="G20" s="14" t="n"/>
      <c r="H20" s="15" t="n"/>
    </row>
    <row r="21">
      <c r="A21" s="6" t="n">
        <v>16</v>
      </c>
      <c r="B21" s="5" t="inlineStr">
        <is>
          <t>Formal, legally binding agreements cover the matters CPS 230 specifies.</t>
        </is>
      </c>
      <c r="C21" s="5" t="inlineStr">
        <is>
          <t>CPS 230: service providers</t>
        </is>
      </c>
      <c r="D21" s="14" t="inlineStr">
        <is>
          <t>Not assessed</t>
        </is>
      </c>
      <c r="E21" s="14" t="n"/>
      <c r="F21" s="14" t="n"/>
      <c r="G21" s="14" t="n"/>
      <c r="H21" s="15" t="n"/>
    </row>
    <row r="22">
      <c r="A22" s="6" t="n">
        <v>17</v>
      </c>
      <c r="B22" s="5" t="inlineStr">
        <is>
          <t>Service provider performance and risk are monitored on an ongoing basis.</t>
        </is>
      </c>
      <c r="C22" s="5" t="inlineStr">
        <is>
          <t>CPS 230: service providers</t>
        </is>
      </c>
      <c r="D22" s="14" t="inlineStr">
        <is>
          <t>Not assessed</t>
        </is>
      </c>
      <c r="E22" s="14" t="n"/>
      <c r="F22" s="14" t="n"/>
      <c r="G22" s="14" t="n"/>
      <c r="H22" s="15" t="n"/>
    </row>
    <row r="23">
      <c r="A23" s="6" t="n">
        <v>18</v>
      </c>
      <c r="B23" s="5" t="inlineStr">
        <is>
          <t>APRA is notified within 20 business days of entering into or materially changing an agreement for a service relied on to undertake a critical operation, and before material offshoring.</t>
        </is>
      </c>
      <c r="C23" s="5" t="inlineStr">
        <is>
          <t>CPS 230: notification</t>
        </is>
      </c>
      <c r="D23" s="14" t="inlineStr">
        <is>
          <t>Not assessed</t>
        </is>
      </c>
      <c r="E23" s="14" t="n"/>
      <c r="F23" s="14" t="n"/>
      <c r="G23" s="14" t="n"/>
      <c r="H23" s="15" t="n"/>
    </row>
  </sheetData>
  <conditionalFormatting sqref="D6:D23">
    <cfRule type="expression" priority="1" dxfId="0">
      <formula>D6="Met"</formula>
    </cfRule>
    <cfRule type="expression" priority="2" dxfId="1">
      <formula>D6="Partly met"</formula>
    </cfRule>
    <cfRule type="expression" priority="3" dxfId="2">
      <formula>D6="Not met"</formula>
    </cfRule>
  </conditionalFormatting>
  <dataValidations count="1">
    <dataValidation sqref="D6:D23"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H18"/>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Breach reporting readiness (ASIC reportable situations)</t>
        </is>
      </c>
    </row>
    <row r="2">
      <c r="A2" s="2" t="inlineStr">
        <is>
          <t>Applies to: AFS licensees and Australian credit licensees, including super trustees.</t>
        </is>
      </c>
    </row>
    <row r="3">
      <c r="A3" s="10" t="inlineStr">
        <is>
          <t>Explainer: https://hayesskvaril-ctrl.github.io/standards/asic-rg-78.html</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There is a documented process to identify, record and escalate possible breaches promptly.</t>
        </is>
      </c>
      <c r="C6" s="5" t="inlineStr">
        <is>
          <t>RG 78</t>
        </is>
      </c>
      <c r="D6" s="14" t="inlineStr">
        <is>
          <t>Not assessed</t>
        </is>
      </c>
      <c r="E6" s="14" t="n"/>
      <c r="F6" s="14" t="n"/>
      <c r="G6" s="14" t="n"/>
      <c r="H6" s="15" t="n"/>
    </row>
    <row r="7">
      <c r="A7" s="6" t="n">
        <v>2</v>
      </c>
      <c r="B7" s="5" t="inlineStr">
        <is>
          <t>Staff are trained to recognise possible breaches and know how to report them internally.</t>
        </is>
      </c>
      <c r="C7" s="5" t="inlineStr">
        <is>
          <t>RG 78</t>
        </is>
      </c>
      <c r="D7" s="14" t="inlineStr">
        <is>
          <t>Not assessed</t>
        </is>
      </c>
      <c r="E7" s="14" t="n"/>
      <c r="F7" s="14" t="n"/>
      <c r="G7" s="14" t="n"/>
      <c r="H7" s="15" t="n"/>
    </row>
    <row r="8">
      <c r="A8" s="6" t="n">
        <v>3</v>
      </c>
      <c r="B8" s="5" t="inlineStr">
        <is>
          <t>The date the licensee became aware (or had reasonable grounds) is recorded for every matter.</t>
        </is>
      </c>
      <c r="C8" s="5" t="inlineStr">
        <is>
          <t>RG 78; s 912D</t>
        </is>
      </c>
      <c r="D8" s="14" t="inlineStr">
        <is>
          <t>Not assessed</t>
        </is>
      </c>
      <c r="E8" s="14" t="n"/>
      <c r="F8" s="14" t="n"/>
      <c r="G8" s="14" t="n"/>
      <c r="H8" s="15" t="n"/>
    </row>
    <row r="9">
      <c r="A9" s="6" t="n">
        <v>4</v>
      </c>
      <c r="B9" s="5" t="inlineStr">
        <is>
          <t>Each matter is assessed against the core obligations, the deemed significance tests and the significance factors.</t>
        </is>
      </c>
      <c r="C9" s="5" t="inlineStr">
        <is>
          <t>RG 78; s 912D</t>
        </is>
      </c>
      <c r="D9" s="14" t="inlineStr">
        <is>
          <t>Not assessed</t>
        </is>
      </c>
      <c r="E9" s="14" t="n"/>
      <c r="F9" s="14" t="n"/>
      <c r="G9" s="14" t="n"/>
      <c r="H9" s="15" t="n"/>
    </row>
    <row r="10">
      <c r="A10" s="6" t="n">
        <v>5</v>
      </c>
      <c r="B10" s="5" t="inlineStr">
        <is>
          <t>Significance reasoning is documented, including for matters assessed as not reportable.</t>
        </is>
      </c>
      <c r="C10" s="5" t="inlineStr">
        <is>
          <t>RG 78</t>
        </is>
      </c>
      <c r="D10" s="14" t="inlineStr">
        <is>
          <t>Not assessed</t>
        </is>
      </c>
      <c r="E10" s="14" t="n"/>
      <c r="F10" s="14" t="n"/>
      <c r="G10" s="14" t="n"/>
      <c r="H10" s="15" t="n"/>
    </row>
    <row r="11">
      <c r="A11" s="6" t="n">
        <v>6</v>
      </c>
      <c r="B11" s="5" t="inlineStr">
        <is>
          <t>Reportable situations are lodged through the ASIC Regulatory Portal within 30 calendar days.</t>
        </is>
      </c>
      <c r="C11" s="5" t="inlineStr">
        <is>
          <t>s 912DAA; RG 78</t>
        </is>
      </c>
      <c r="D11" s="14" t="inlineStr">
        <is>
          <t>Not assessed</t>
        </is>
      </c>
      <c r="E11" s="14" t="n"/>
      <c r="F11" s="14" t="n"/>
      <c r="G11" s="14" t="n"/>
      <c r="H11" s="15" t="n"/>
    </row>
    <row r="12">
      <c r="A12" s="6" t="n">
        <v>7</v>
      </c>
      <c r="B12" s="5" t="inlineStr">
        <is>
          <t>Investigations are tracked, and reported if they run longer than the period allowed (currently 60 days under ASIC relief).</t>
        </is>
      </c>
      <c r="C12" s="5" t="inlineStr">
        <is>
          <t>RG 78; ASIC relief</t>
        </is>
      </c>
      <c r="D12" s="14" t="inlineStr">
        <is>
          <t>Not assessed</t>
        </is>
      </c>
      <c r="E12" s="14" t="n"/>
      <c r="F12" s="14" t="n"/>
      <c r="G12" s="14" t="n"/>
      <c r="H12" s="15" t="n"/>
    </row>
    <row r="13">
      <c r="A13" s="6" t="n">
        <v>8</v>
      </c>
      <c r="B13" s="5" t="inlineStr">
        <is>
          <t>Obligations to report about other licensees' individual advisers or mortgage brokers are understood where relevant.</t>
        </is>
      </c>
      <c r="C13" s="5" t="inlineStr">
        <is>
          <t>RG 78</t>
        </is>
      </c>
      <c r="D13" s="14" t="inlineStr">
        <is>
          <t>Not assessed</t>
        </is>
      </c>
      <c r="E13" s="14" t="n"/>
      <c r="F13" s="14" t="n"/>
      <c r="G13" s="14" t="n"/>
      <c r="H13" s="15" t="n"/>
    </row>
    <row r="14">
      <c r="A14" s="6" t="n">
        <v>9</v>
      </c>
      <c r="B14" s="5" t="inlineStr">
        <is>
          <t>ASIC is updated as facts change after the initial report.</t>
        </is>
      </c>
      <c r="C14" s="5" t="inlineStr">
        <is>
          <t>RG 78</t>
        </is>
      </c>
      <c r="D14" s="14" t="inlineStr">
        <is>
          <t>Not assessed</t>
        </is>
      </c>
      <c r="E14" s="14" t="n"/>
      <c r="F14" s="14" t="n"/>
      <c r="G14" s="14" t="n"/>
      <c r="H14" s="15" t="n"/>
    </row>
    <row r="15">
      <c r="A15" s="6" t="n">
        <v>10</v>
      </c>
      <c r="B15" s="5" t="inlineStr">
        <is>
          <t>For super trustees, APRA notification requirements (SIS Act s 29JA) are coordinated with ASIC reporting.</t>
        </is>
      </c>
      <c r="C15" s="5" t="inlineStr">
        <is>
          <t>SIS Act s 29JA</t>
        </is>
      </c>
      <c r="D15" s="14" t="inlineStr">
        <is>
          <t>Not assessed</t>
        </is>
      </c>
      <c r="E15" s="14" t="n"/>
      <c r="F15" s="14" t="n"/>
      <c r="G15" s="14" t="n"/>
      <c r="H15" s="15" t="n"/>
    </row>
    <row r="16">
      <c r="A16" s="6" t="n">
        <v>11</v>
      </c>
      <c r="B16" s="5" t="inlineStr">
        <is>
          <t>Personal advice licensees notify, investigate and remediate affected clients where required.</t>
        </is>
      </c>
      <c r="C16" s="5" t="inlineStr">
        <is>
          <t>ss 912EA–912EB</t>
        </is>
      </c>
      <c r="D16" s="14" t="inlineStr">
        <is>
          <t>Not assessed</t>
        </is>
      </c>
      <c r="E16" s="14" t="n"/>
      <c r="F16" s="14" t="n"/>
      <c r="G16" s="14" t="n"/>
      <c r="H16" s="15" t="n"/>
    </row>
    <row r="17">
      <c r="A17" s="6" t="n">
        <v>12</v>
      </c>
      <c r="B17" s="5" t="inlineStr">
        <is>
          <t>A breach register is maintained, and breach trends are reported to management and the board.</t>
        </is>
      </c>
      <c r="C17" s="5" t="inlineStr">
        <is>
          <t>Good practice</t>
        </is>
      </c>
      <c r="D17" s="14" t="inlineStr">
        <is>
          <t>Not assessed</t>
        </is>
      </c>
      <c r="E17" s="14" t="n"/>
      <c r="F17" s="14" t="n"/>
      <c r="G17" s="14" t="n"/>
      <c r="H17" s="15" t="n"/>
    </row>
    <row r="18">
      <c r="A18" s="6" t="n">
        <v>13</v>
      </c>
      <c r="B18" s="5" t="inlineStr">
        <is>
          <t>Root causes and remediation are tracked to closure.</t>
        </is>
      </c>
      <c r="C18" s="5" t="inlineStr">
        <is>
          <t>Good practice; RG 277</t>
        </is>
      </c>
      <c r="D18" s="14" t="inlineStr">
        <is>
          <t>Not assessed</t>
        </is>
      </c>
      <c r="E18" s="14" t="n"/>
      <c r="F18" s="14" t="n"/>
      <c r="G18" s="14" t="n"/>
      <c r="H18" s="15" t="n"/>
    </row>
  </sheetData>
  <conditionalFormatting sqref="D6:D18">
    <cfRule type="expression" priority="1" dxfId="0">
      <formula>D6="Met"</formula>
    </cfRule>
    <cfRule type="expression" priority="2" dxfId="1">
      <formula>D6="Partly met"</formula>
    </cfRule>
    <cfRule type="expression" priority="3" dxfId="2">
      <formula>D6="Not met"</formula>
    </cfRule>
  </conditionalFormatting>
  <dataValidations count="1">
    <dataValidation sqref="D6:D18"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H16"/>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Complaints handling (IDR, RG 271)</t>
        </is>
      </c>
    </row>
    <row r="2">
      <c r="A2" s="2" t="inlineStr">
        <is>
          <t>Applies to: AFS licensees and credit licensees serving retail clients, super trustees and other firms required to have IDR.</t>
        </is>
      </c>
    </row>
    <row r="3">
      <c r="A3" s="10" t="inlineStr">
        <is>
          <t>Explainer: https://hayesskvaril-ctrl.github.io/standards/asic-rg-271.html</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Staff can recognise a complaint however it is made, including verbally and on social media where appropriate.</t>
        </is>
      </c>
      <c r="C6" s="5" t="inlineStr">
        <is>
          <t>RG 271</t>
        </is>
      </c>
      <c r="D6" s="14" t="inlineStr">
        <is>
          <t>Not assessed</t>
        </is>
      </c>
      <c r="E6" s="14" t="n"/>
      <c r="F6" s="14" t="n"/>
      <c r="G6" s="14" t="n"/>
      <c r="H6" s="15" t="n"/>
    </row>
    <row r="7">
      <c r="A7" s="6" t="n">
        <v>2</v>
      </c>
      <c r="B7" s="5" t="inlineStr">
        <is>
          <t>The complaints policy is published and easy to find, and the process is free for customers.</t>
        </is>
      </c>
      <c r="C7" s="5" t="inlineStr">
        <is>
          <t>RG 271</t>
        </is>
      </c>
      <c r="D7" s="14" t="inlineStr">
        <is>
          <t>Not assessed</t>
        </is>
      </c>
      <c r="E7" s="14" t="n"/>
      <c r="F7" s="14" t="n"/>
      <c r="G7" s="14" t="n"/>
      <c r="H7" s="15" t="n"/>
    </row>
    <row r="8">
      <c r="A8" s="6" t="n">
        <v>3</v>
      </c>
      <c r="B8" s="5" t="inlineStr">
        <is>
          <t>Complaints are acknowledged within 24 hours or one business day, or as soon as practicable.</t>
        </is>
      </c>
      <c r="C8" s="5" t="inlineStr">
        <is>
          <t>RG 271</t>
        </is>
      </c>
      <c r="D8" s="14" t="inlineStr">
        <is>
          <t>Not assessed</t>
        </is>
      </c>
      <c r="E8" s="14" t="n"/>
      <c r="F8" s="14" t="n"/>
      <c r="G8" s="14" t="n"/>
      <c r="H8" s="15" t="n"/>
    </row>
    <row r="9">
      <c r="A9" s="6" t="n">
        <v>4</v>
      </c>
      <c r="B9" s="5" t="inlineStr">
        <is>
          <t>Complaints are resolved, or an IDR response is given, within the maximum timeframes: generally 30 calendar days, or 45 days for most super complaints.</t>
        </is>
      </c>
      <c r="C9" s="5" t="inlineStr">
        <is>
          <t>RG 271 (enforceable)</t>
        </is>
      </c>
      <c r="D9" s="14" t="inlineStr">
        <is>
          <t>Not assessed</t>
        </is>
      </c>
      <c r="E9" s="14" t="n"/>
      <c r="F9" s="14" t="n"/>
      <c r="G9" s="14" t="n"/>
      <c r="H9" s="15" t="n"/>
    </row>
    <row r="10">
      <c r="A10" s="6" t="n">
        <v>5</v>
      </c>
      <c r="B10" s="5" t="inlineStr">
        <is>
          <t>Super death benefit objections are handled within their separate timeframe.</t>
        </is>
      </c>
      <c r="C10" s="5" t="inlineStr">
        <is>
          <t>RG 271</t>
        </is>
      </c>
      <c r="D10" s="14" t="inlineStr">
        <is>
          <t>Not assessed</t>
        </is>
      </c>
      <c r="E10" s="14" t="n"/>
      <c r="F10" s="14" t="n"/>
      <c r="G10" s="14" t="n"/>
      <c r="H10" s="15" t="n"/>
    </row>
    <row r="11">
      <c r="A11" s="6" t="n">
        <v>6</v>
      </c>
      <c r="B11" s="5" t="inlineStr">
        <is>
          <t>IDR responses are in writing, explain the outcome and reasons, and tell the customer about their right to go to AFCA.</t>
        </is>
      </c>
      <c r="C11" s="5" t="inlineStr">
        <is>
          <t>RG 271 (enforceable)</t>
        </is>
      </c>
      <c r="D11" s="14" t="inlineStr">
        <is>
          <t>Not assessed</t>
        </is>
      </c>
      <c r="E11" s="14" t="n"/>
      <c r="F11" s="14" t="n"/>
      <c r="G11" s="14" t="n"/>
      <c r="H11" s="15" t="n"/>
    </row>
    <row r="12">
      <c r="A12" s="6" t="n">
        <v>7</v>
      </c>
      <c r="B12" s="5" t="inlineStr">
        <is>
          <t>Every complaint is recorded, including those resolved on first contact.</t>
        </is>
      </c>
      <c r="C12" s="5" t="inlineStr">
        <is>
          <t>RG 271</t>
        </is>
      </c>
      <c r="D12" s="14" t="inlineStr">
        <is>
          <t>Not assessed</t>
        </is>
      </c>
      <c r="E12" s="14" t="n"/>
      <c r="F12" s="14" t="n"/>
      <c r="G12" s="14" t="n"/>
      <c r="H12" s="15" t="n"/>
    </row>
    <row r="13">
      <c r="A13" s="6" t="n">
        <v>8</v>
      </c>
      <c r="B13" s="5" t="inlineStr">
        <is>
          <t>People who need extra help (e.g. vulnerable customers) get appropriate support.</t>
        </is>
      </c>
      <c r="C13" s="5" t="inlineStr">
        <is>
          <t>RG 271</t>
        </is>
      </c>
      <c r="D13" s="14" t="inlineStr">
        <is>
          <t>Not assessed</t>
        </is>
      </c>
      <c r="E13" s="14" t="n"/>
      <c r="F13" s="14" t="n"/>
      <c r="G13" s="14" t="n"/>
      <c r="H13" s="15" t="n"/>
    </row>
    <row r="14">
      <c r="A14" s="6" t="n">
        <v>9</v>
      </c>
      <c r="B14" s="5" t="inlineStr">
        <is>
          <t>Complaints data is analysed to find systemic issues and root causes, which are escalated and fixed.</t>
        </is>
      </c>
      <c r="C14" s="5" t="inlineStr">
        <is>
          <t>RG 271</t>
        </is>
      </c>
      <c r="D14" s="14" t="inlineStr">
        <is>
          <t>Not assessed</t>
        </is>
      </c>
      <c r="E14" s="14" t="n"/>
      <c r="F14" s="14" t="n"/>
      <c r="G14" s="14" t="n"/>
      <c r="H14" s="15" t="n"/>
    </row>
    <row r="15">
      <c r="A15" s="6" t="n">
        <v>10</v>
      </c>
      <c r="B15" s="5" t="inlineStr">
        <is>
          <t>The board and senior management receive regular complaints reporting.</t>
        </is>
      </c>
      <c r="C15" s="5" t="inlineStr">
        <is>
          <t>RG 271</t>
        </is>
      </c>
      <c r="D15" s="14" t="inlineStr">
        <is>
          <t>Not assessed</t>
        </is>
      </c>
      <c r="E15" s="14" t="n"/>
      <c r="F15" s="14" t="n"/>
      <c r="G15" s="14" t="n"/>
      <c r="H15" s="15" t="n"/>
    </row>
    <row r="16">
      <c r="A16" s="6" t="n">
        <v>11</v>
      </c>
      <c r="B16" s="5" t="inlineStr">
        <is>
          <t>IDR data is reported to ASIC as required.</t>
        </is>
      </c>
      <c r="C16" s="5" t="inlineStr">
        <is>
          <t>ASIC IDR data reporting</t>
        </is>
      </c>
      <c r="D16" s="14" t="inlineStr">
        <is>
          <t>Not assessed</t>
        </is>
      </c>
      <c r="E16" s="14" t="n"/>
      <c r="F16" s="14" t="n"/>
      <c r="G16" s="14" t="n"/>
      <c r="H16" s="15" t="n"/>
    </row>
  </sheetData>
  <conditionalFormatting sqref="D6:D16">
    <cfRule type="expression" priority="1" dxfId="0">
      <formula>D6="Met"</formula>
    </cfRule>
    <cfRule type="expression" priority="2" dxfId="1">
      <formula>D6="Partly met"</formula>
    </cfRule>
    <cfRule type="expression" priority="3" dxfId="2">
      <formula>D6="Not met"</formula>
    </cfRule>
  </conditionalFormatting>
  <dataValidations count="1">
    <dataValidation sqref="D6:D16"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14"/>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Design and distribution obligations (RG 274)</t>
        </is>
      </c>
    </row>
    <row r="2">
      <c r="A2" s="2" t="inlineStr">
        <is>
          <t>Applies to: Issuers and distributors of most retail financial products (MySuper products and some others are excluded).</t>
        </is>
      </c>
    </row>
    <row r="3">
      <c r="A3" s="10" t="inlineStr">
        <is>
          <t>Explainer: https://hayesskvaril-ctrl.github.io/standards/asic-rg-274.html</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A target market determination is made and published before distributing each in-scope product.</t>
        </is>
      </c>
      <c r="C6" s="5" t="inlineStr">
        <is>
          <t>Part 7.8A; RG 274</t>
        </is>
      </c>
      <c r="D6" s="14" t="inlineStr">
        <is>
          <t>Not assessed</t>
        </is>
      </c>
      <c r="E6" s="14" t="n"/>
      <c r="F6" s="14" t="n"/>
      <c r="G6" s="14" t="n"/>
      <c r="H6" s="15" t="n"/>
    </row>
    <row r="7">
      <c r="A7" s="6" t="n">
        <v>2</v>
      </c>
      <c r="B7" s="5" t="inlineStr">
        <is>
          <t>Each TMD describes the target market, distribution conditions, review triggers, review periods and distributor reporting.</t>
        </is>
      </c>
      <c r="C7" s="5" t="inlineStr">
        <is>
          <t>RG 274</t>
        </is>
      </c>
      <c r="D7" s="14" t="inlineStr">
        <is>
          <t>Not assessed</t>
        </is>
      </c>
      <c r="E7" s="14" t="n"/>
      <c r="F7" s="14" t="n"/>
      <c r="G7" s="14" t="n"/>
      <c r="H7" s="15" t="n"/>
    </row>
    <row r="8">
      <c r="A8" s="6" t="n">
        <v>3</v>
      </c>
      <c r="B8" s="5" t="inlineStr">
        <is>
          <t>The target market is specific enough to guide distribution, including who the product is not suitable for where helpful.</t>
        </is>
      </c>
      <c r="C8" s="5" t="inlineStr">
        <is>
          <t>RG 274</t>
        </is>
      </c>
      <c r="D8" s="14" t="inlineStr">
        <is>
          <t>Not assessed</t>
        </is>
      </c>
      <c r="E8" s="14" t="n"/>
      <c r="F8" s="14" t="n"/>
      <c r="G8" s="14" t="n"/>
      <c r="H8" s="15" t="n"/>
    </row>
    <row r="9">
      <c r="A9" s="6" t="n">
        <v>4</v>
      </c>
      <c r="B9" s="5" t="inlineStr">
        <is>
          <t>Reasonable steps are taken so that distribution, including marketing, is consistent with the TMD.</t>
        </is>
      </c>
      <c r="C9" s="5" t="inlineStr">
        <is>
          <t>s 994E; RG 274</t>
        </is>
      </c>
      <c r="D9" s="14" t="inlineStr">
        <is>
          <t>Not assessed</t>
        </is>
      </c>
      <c r="E9" s="14" t="n"/>
      <c r="F9" s="14" t="n"/>
      <c r="G9" s="14" t="n"/>
      <c r="H9" s="15" t="n"/>
    </row>
    <row r="10">
      <c r="A10" s="6" t="n">
        <v>5</v>
      </c>
      <c r="B10" s="5" t="inlineStr">
        <is>
          <t>Distributors report complaints and dealings outside the target market to the issuer as the TMD requires.</t>
        </is>
      </c>
      <c r="C10" s="5" t="inlineStr">
        <is>
          <t>RG 274</t>
        </is>
      </c>
      <c r="D10" s="14" t="inlineStr">
        <is>
          <t>Not assessed</t>
        </is>
      </c>
      <c r="E10" s="14" t="n"/>
      <c r="F10" s="14" t="n"/>
      <c r="G10" s="14" t="n"/>
      <c r="H10" s="15" t="n"/>
    </row>
    <row r="11">
      <c r="A11" s="6" t="n">
        <v>6</v>
      </c>
      <c r="B11" s="5" t="inlineStr">
        <is>
          <t>TMDs are reviewed when a review trigger occurs and within the maximum review period.</t>
        </is>
      </c>
      <c r="C11" s="5" t="inlineStr">
        <is>
          <t>RG 274</t>
        </is>
      </c>
      <c r="D11" s="14" t="inlineStr">
        <is>
          <t>Not assessed</t>
        </is>
      </c>
      <c r="E11" s="14" t="n"/>
      <c r="F11" s="14" t="n"/>
      <c r="G11" s="14" t="n"/>
      <c r="H11" s="15" t="n"/>
    </row>
    <row r="12">
      <c r="A12" s="6" t="n">
        <v>7</v>
      </c>
      <c r="B12" s="5" t="inlineStr">
        <is>
          <t>Significant dealings inconsistent with the TMD are notified to ASIC within 10 business days.</t>
        </is>
      </c>
      <c r="C12" s="5" t="inlineStr">
        <is>
          <t>s 994G; RG 274</t>
        </is>
      </c>
      <c r="D12" s="14" t="inlineStr">
        <is>
          <t>Not assessed</t>
        </is>
      </c>
      <c r="E12" s="14" t="n"/>
      <c r="F12" s="14" t="n"/>
      <c r="G12" s="14" t="n"/>
      <c r="H12" s="15" t="n"/>
    </row>
    <row r="13">
      <c r="A13" s="6" t="n">
        <v>8</v>
      </c>
      <c r="B13" s="5" t="inlineStr">
        <is>
          <t>Distribution information and decisions are recorded.</t>
        </is>
      </c>
      <c r="C13" s="5" t="inlineStr">
        <is>
          <t>RG 274</t>
        </is>
      </c>
      <c r="D13" s="14" t="inlineStr">
        <is>
          <t>Not assessed</t>
        </is>
      </c>
      <c r="E13" s="14" t="n"/>
      <c r="F13" s="14" t="n"/>
      <c r="G13" s="14" t="n"/>
      <c r="H13" s="15" t="n"/>
    </row>
    <row r="14">
      <c r="A14" s="6" t="n">
        <v>9</v>
      </c>
      <c r="B14" s="5" t="inlineStr">
        <is>
          <t>Product outcomes (e.g. complaints, claims, cancellations, performance) are monitored and reported to governance forums.</t>
        </is>
      </c>
      <c r="C14" s="5" t="inlineStr">
        <is>
          <t>RG 274</t>
        </is>
      </c>
      <c r="D14" s="14" t="inlineStr">
        <is>
          <t>Not assessed</t>
        </is>
      </c>
      <c r="E14" s="14" t="n"/>
      <c r="F14" s="14" t="n"/>
      <c r="G14" s="14" t="n"/>
      <c r="H14" s="15" t="n"/>
    </row>
  </sheetData>
  <conditionalFormatting sqref="D6:D14">
    <cfRule type="expression" priority="1" dxfId="0">
      <formula>D6="Met"</formula>
    </cfRule>
    <cfRule type="expression" priority="2" dxfId="1">
      <formula>D6="Partly met"</formula>
    </cfRule>
    <cfRule type="expression" priority="3" dxfId="2">
      <formula>D6="Not met"</formula>
    </cfRule>
  </conditionalFormatting>
  <dataValidations count="1">
    <dataValidation sqref="D6:D14"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H16"/>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Whistleblower program (Part 9.4AAA, RG 270)</t>
        </is>
      </c>
    </row>
    <row r="2">
      <c r="A2" s="2" t="inlineStr">
        <is>
          <t>Applies to: Public companies, large proprietary companies and super trustee companies must have a policy. The protections apply more widely.</t>
        </is>
      </c>
    </row>
    <row r="3">
      <c r="A3" s="10" t="inlineStr">
        <is>
          <t>Explainer: https://hayesskvaril-ctrl.github.io/governance/whistleblower-protections.html</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A whistleblower policy is in place and available to officers and employees.</t>
        </is>
      </c>
      <c r="C6" s="5" t="inlineStr">
        <is>
          <t>s 1317AI; RG 270</t>
        </is>
      </c>
      <c r="D6" s="14" t="inlineStr">
        <is>
          <t>Not assessed</t>
        </is>
      </c>
      <c r="E6" s="14" t="n"/>
      <c r="F6" s="14" t="n"/>
      <c r="G6" s="14" t="n"/>
      <c r="H6" s="15" t="n"/>
    </row>
    <row r="7">
      <c r="A7" s="6" t="n">
        <v>2</v>
      </c>
      <c r="B7" s="5" t="inlineStr">
        <is>
          <t>The policy explains which disclosures are protected and who can receive them.</t>
        </is>
      </c>
      <c r="C7" s="5" t="inlineStr">
        <is>
          <t>RG 270</t>
        </is>
      </c>
      <c r="D7" s="14" t="inlineStr">
        <is>
          <t>Not assessed</t>
        </is>
      </c>
      <c r="E7" s="14" t="n"/>
      <c r="F7" s="14" t="n"/>
      <c r="G7" s="14" t="n"/>
      <c r="H7" s="15" t="n"/>
    </row>
    <row r="8">
      <c r="A8" s="6" t="n">
        <v>3</v>
      </c>
      <c r="B8" s="5" t="inlineStr">
        <is>
          <t>The policy explains the protections, including identity confidentiality and protection from detriment.</t>
        </is>
      </c>
      <c r="C8" s="5" t="inlineStr">
        <is>
          <t>RG 270</t>
        </is>
      </c>
      <c r="D8" s="14" t="inlineStr">
        <is>
          <t>Not assessed</t>
        </is>
      </c>
      <c r="E8" s="14" t="n"/>
      <c r="F8" s="14" t="n"/>
      <c r="G8" s="14" t="n"/>
      <c r="H8" s="15" t="n"/>
    </row>
    <row r="9">
      <c r="A9" s="6" t="n">
        <v>4</v>
      </c>
      <c r="B9" s="5" t="inlineStr">
        <is>
          <t>The policy explains how disclosures are investigated, and how people mentioned in them are treated fairly.</t>
        </is>
      </c>
      <c r="C9" s="5" t="inlineStr">
        <is>
          <t>RG 270</t>
        </is>
      </c>
      <c r="D9" s="14" t="inlineStr">
        <is>
          <t>Not assessed</t>
        </is>
      </c>
      <c r="E9" s="14" t="n"/>
      <c r="F9" s="14" t="n"/>
      <c r="G9" s="14" t="n"/>
      <c r="H9" s="15" t="n"/>
    </row>
    <row r="10">
      <c r="A10" s="6" t="n">
        <v>5</v>
      </c>
      <c r="B10" s="5" t="inlineStr">
        <is>
          <t>There is a channel for anonymous disclosures.</t>
        </is>
      </c>
      <c r="C10" s="5" t="inlineStr">
        <is>
          <t>Part 9.4AAA; RG 270</t>
        </is>
      </c>
      <c r="D10" s="14" t="inlineStr">
        <is>
          <t>Not assessed</t>
        </is>
      </c>
      <c r="E10" s="14" t="n"/>
      <c r="F10" s="14" t="n"/>
      <c r="G10" s="14" t="n"/>
      <c r="H10" s="15" t="n"/>
    </row>
    <row r="11">
      <c r="A11" s="6" t="n">
        <v>6</v>
      </c>
      <c r="B11" s="5" t="inlineStr">
        <is>
          <t>Eligible recipients know their role and are trained to handle disclosures.</t>
        </is>
      </c>
      <c r="C11" s="5" t="inlineStr">
        <is>
          <t>RG 270</t>
        </is>
      </c>
      <c r="D11" s="14" t="inlineStr">
        <is>
          <t>Not assessed</t>
        </is>
      </c>
      <c r="E11" s="14" t="n"/>
      <c r="F11" s="14" t="n"/>
      <c r="G11" s="14" t="n"/>
      <c r="H11" s="15" t="n"/>
    </row>
    <row r="12">
      <c r="A12" s="6" t="n">
        <v>7</v>
      </c>
      <c r="B12" s="5" t="inlineStr">
        <is>
          <t>Records are secure, and processes protect whistleblowers' identities.</t>
        </is>
      </c>
      <c r="C12" s="5" t="inlineStr">
        <is>
          <t>Part 9.4AAA</t>
        </is>
      </c>
      <c r="D12" s="14" t="inlineStr">
        <is>
          <t>Not assessed</t>
        </is>
      </c>
      <c r="E12" s="14" t="n"/>
      <c r="F12" s="14" t="n"/>
      <c r="G12" s="14" t="n"/>
      <c r="H12" s="15" t="n"/>
    </row>
    <row r="13">
      <c r="A13" s="6" t="n">
        <v>8</v>
      </c>
      <c r="B13" s="5" t="inlineStr">
        <is>
          <t>The risk of detriment is assessed and monitored for each disclosure.</t>
        </is>
      </c>
      <c r="C13" s="5" t="inlineStr">
        <is>
          <t>RG 270</t>
        </is>
      </c>
      <c r="D13" s="14" t="inlineStr">
        <is>
          <t>Not assessed</t>
        </is>
      </c>
      <c r="E13" s="14" t="n"/>
      <c r="F13" s="14" t="n"/>
      <c r="G13" s="14" t="n"/>
      <c r="H13" s="15" t="n"/>
    </row>
    <row r="14">
      <c r="A14" s="6" t="n">
        <v>9</v>
      </c>
      <c r="B14" s="5" t="inlineStr">
        <is>
          <t>Whistleblowers receive appropriate updates on progress and outcomes.</t>
        </is>
      </c>
      <c r="C14" s="5" t="inlineStr">
        <is>
          <t>RG 270</t>
        </is>
      </c>
      <c r="D14" s="14" t="inlineStr">
        <is>
          <t>Not assessed</t>
        </is>
      </c>
      <c r="E14" s="14" t="n"/>
      <c r="F14" s="14" t="n"/>
      <c r="G14" s="14" t="n"/>
      <c r="H14" s="15" t="n"/>
    </row>
    <row r="15">
      <c r="A15" s="6" t="n">
        <v>10</v>
      </c>
      <c r="B15" s="5" t="inlineStr">
        <is>
          <t>The board receives reporting on the program without identifying whistleblowers.</t>
        </is>
      </c>
      <c r="C15" s="5" t="inlineStr">
        <is>
          <t>RG 270</t>
        </is>
      </c>
      <c r="D15" s="14" t="inlineStr">
        <is>
          <t>Not assessed</t>
        </is>
      </c>
      <c r="E15" s="14" t="n"/>
      <c r="F15" s="14" t="n"/>
      <c r="G15" s="14" t="n"/>
      <c r="H15" s="15" t="n"/>
    </row>
    <row r="16">
      <c r="A16" s="6" t="n">
        <v>11</v>
      </c>
      <c r="B16" s="5" t="inlineStr">
        <is>
          <t>The policy and program are reviewed periodically.</t>
        </is>
      </c>
      <c r="C16" s="5" t="inlineStr">
        <is>
          <t>RG 270</t>
        </is>
      </c>
      <c r="D16" s="14" t="inlineStr">
        <is>
          <t>Not assessed</t>
        </is>
      </c>
      <c r="E16" s="14" t="n"/>
      <c r="F16" s="14" t="n"/>
      <c r="G16" s="14" t="n"/>
      <c r="H16" s="15" t="n"/>
    </row>
  </sheetData>
  <conditionalFormatting sqref="D6:D16">
    <cfRule type="expression" priority="1" dxfId="0">
      <formula>D6="Met"</formula>
    </cfRule>
    <cfRule type="expression" priority="2" dxfId="1">
      <formula>D6="Partly met"</formula>
    </cfRule>
    <cfRule type="expression" priority="3" dxfId="2">
      <formula>D6="Not met"</formula>
    </cfRule>
  </conditionalFormatting>
  <dataValidations count="1">
    <dataValidation sqref="D6:D16"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6" customWidth="1" min="1" max="1"/>
    <col width="60" customWidth="1" min="2" max="2"/>
    <col width="20" customWidth="1" min="3" max="3"/>
    <col width="15" customWidth="1" min="4" max="4"/>
    <col width="36" customWidth="1" min="5" max="5"/>
    <col width="16" customWidth="1" min="6" max="6"/>
    <col width="34" customWidth="1" min="7" max="7"/>
    <col width="12" customWidth="1" min="8" max="8"/>
  </cols>
  <sheetData>
    <row r="1" ht="26" customHeight="1">
      <c r="A1" s="1" t="inlineStr">
        <is>
          <t>Privacy and data breach readiness</t>
        </is>
      </c>
    </row>
    <row r="2">
      <c r="A2" s="2" t="inlineStr">
        <is>
          <t>Applies to: Organisations covered by the Privacy Act 1988 (Cth), generally including businesses with turnover over $3 million.</t>
        </is>
      </c>
    </row>
    <row r="3">
      <c r="A3" s="10" t="inlineStr">
        <is>
          <t>Explainer: https://hayesskvaril-ctrl.github.io/compliance/privacy-law.html</t>
        </is>
      </c>
    </row>
    <row r="5" ht="32" customHeight="1">
      <c r="A5" s="4" t="inlineStr">
        <is>
          <t>No.</t>
        </is>
      </c>
      <c r="B5" s="4" t="inlineStr">
        <is>
          <t>Requirement or good practice (summary)</t>
        </is>
      </c>
      <c r="C5" s="4" t="inlineStr">
        <is>
          <t>Reference</t>
        </is>
      </c>
      <c r="D5" s="4" t="inlineStr">
        <is>
          <t>Status</t>
        </is>
      </c>
      <c r="E5" s="4" t="inlineStr">
        <is>
          <t>Evidence</t>
        </is>
      </c>
      <c r="F5" s="4" t="inlineStr">
        <is>
          <t>Owner</t>
        </is>
      </c>
      <c r="G5" s="4" t="inlineStr">
        <is>
          <t>Action required</t>
        </is>
      </c>
      <c r="H5" s="4" t="inlineStr">
        <is>
          <t>Due date</t>
        </is>
      </c>
    </row>
    <row r="6">
      <c r="A6" s="6" t="n">
        <v>1</v>
      </c>
      <c r="B6" s="5" t="inlineStr">
        <is>
          <t>An up-to-date APP privacy policy is published.</t>
        </is>
      </c>
      <c r="C6" s="5" t="inlineStr">
        <is>
          <t>APP 1</t>
        </is>
      </c>
      <c r="D6" s="14" t="inlineStr">
        <is>
          <t>Not assessed</t>
        </is>
      </c>
      <c r="E6" s="14" t="n"/>
      <c r="F6" s="14" t="n"/>
      <c r="G6" s="14" t="n"/>
      <c r="H6" s="15" t="n"/>
    </row>
    <row r="7">
      <c r="A7" s="6" t="n">
        <v>2</v>
      </c>
      <c r="B7" s="5" t="inlineStr">
        <is>
          <t>The organisation knows what personal information it holds, where, why and for how long.</t>
        </is>
      </c>
      <c r="C7" s="5" t="inlineStr">
        <is>
          <t>APP 1, APP 11</t>
        </is>
      </c>
      <c r="D7" s="14" t="inlineStr">
        <is>
          <t>Not assessed</t>
        </is>
      </c>
      <c r="E7" s="14" t="n"/>
      <c r="F7" s="14" t="n"/>
      <c r="G7" s="14" t="n"/>
      <c r="H7" s="15" t="n"/>
    </row>
    <row r="8">
      <c r="A8" s="6" t="n">
        <v>3</v>
      </c>
      <c r="B8" s="5" t="inlineStr">
        <is>
          <t>Collection notices tell people what is collected and why.</t>
        </is>
      </c>
      <c r="C8" s="5" t="inlineStr">
        <is>
          <t>APP 5</t>
        </is>
      </c>
      <c r="D8" s="14" t="inlineStr">
        <is>
          <t>Not assessed</t>
        </is>
      </c>
      <c r="E8" s="14" t="n"/>
      <c r="F8" s="14" t="n"/>
      <c r="G8" s="14" t="n"/>
      <c r="H8" s="15" t="n"/>
    </row>
    <row r="9">
      <c r="A9" s="6" t="n">
        <v>4</v>
      </c>
      <c r="B9" s="5" t="inlineStr">
        <is>
          <t>Personal information is used and disclosed only for permitted purposes.</t>
        </is>
      </c>
      <c r="C9" s="5" t="inlineStr">
        <is>
          <t>APP 6</t>
        </is>
      </c>
      <c r="D9" s="14" t="inlineStr">
        <is>
          <t>Not assessed</t>
        </is>
      </c>
      <c r="E9" s="14" t="n"/>
      <c r="F9" s="14" t="n"/>
      <c r="G9" s="14" t="n"/>
      <c r="H9" s="15" t="n"/>
    </row>
    <row r="10">
      <c r="A10" s="6" t="n">
        <v>5</v>
      </c>
      <c r="B10" s="5" t="inlineStr">
        <is>
          <t>Disclosures to overseas recipients are identified and managed.</t>
        </is>
      </c>
      <c r="C10" s="5" t="inlineStr">
        <is>
          <t>APP 8</t>
        </is>
      </c>
      <c r="D10" s="14" t="inlineStr">
        <is>
          <t>Not assessed</t>
        </is>
      </c>
      <c r="E10" s="14" t="n"/>
      <c r="F10" s="14" t="n"/>
      <c r="G10" s="14" t="n"/>
      <c r="H10" s="15" t="n"/>
    </row>
    <row r="11">
      <c r="A11" s="6" t="n">
        <v>6</v>
      </c>
      <c r="B11" s="5" t="inlineStr">
        <is>
          <t>Reasonable security safeguards are in place, and information is destroyed or de-identified when no longer needed.</t>
        </is>
      </c>
      <c r="C11" s="5" t="inlineStr">
        <is>
          <t>APP 11</t>
        </is>
      </c>
      <c r="D11" s="14" t="inlineStr">
        <is>
          <t>Not assessed</t>
        </is>
      </c>
      <c r="E11" s="14" t="n"/>
      <c r="F11" s="14" t="n"/>
      <c r="G11" s="14" t="n"/>
      <c r="H11" s="15" t="n"/>
    </row>
    <row r="12">
      <c r="A12" s="6" t="n">
        <v>7</v>
      </c>
      <c r="B12" s="5" t="inlineStr">
        <is>
          <t>Access and correction requests are handled within required timeframes.</t>
        </is>
      </c>
      <c r="C12" s="5" t="inlineStr">
        <is>
          <t>APPs 12 and 13</t>
        </is>
      </c>
      <c r="D12" s="14" t="inlineStr">
        <is>
          <t>Not assessed</t>
        </is>
      </c>
      <c r="E12" s="14" t="n"/>
      <c r="F12" s="14" t="n"/>
      <c r="G12" s="14" t="n"/>
      <c r="H12" s="15" t="n"/>
    </row>
    <row r="13">
      <c r="A13" s="6" t="n">
        <v>8</v>
      </c>
      <c r="B13" s="5" t="inlineStr">
        <is>
          <t>A data breach response plan sets out roles, escalation and decision-making.</t>
        </is>
      </c>
      <c r="C13" s="5" t="inlineStr">
        <is>
          <t>OAIC guidance</t>
        </is>
      </c>
      <c r="D13" s="14" t="inlineStr">
        <is>
          <t>Not assessed</t>
        </is>
      </c>
      <c r="E13" s="14" t="n"/>
      <c r="F13" s="14" t="n"/>
      <c r="G13" s="14" t="n"/>
      <c r="H13" s="15" t="n"/>
    </row>
    <row r="14">
      <c r="A14" s="6" t="n">
        <v>9</v>
      </c>
      <c r="B14" s="5" t="inlineStr">
        <is>
          <t>Suspected eligible data breaches are assessed quickly, generally within 30 days.</t>
        </is>
      </c>
      <c r="C14" s="5" t="inlineStr">
        <is>
          <t>Part IIIC</t>
        </is>
      </c>
      <c r="D14" s="14" t="inlineStr">
        <is>
          <t>Not assessed</t>
        </is>
      </c>
      <c r="E14" s="14" t="n"/>
      <c r="F14" s="14" t="n"/>
      <c r="G14" s="14" t="n"/>
      <c r="H14" s="15" t="n"/>
    </row>
    <row r="15">
      <c r="A15" s="6" t="n">
        <v>10</v>
      </c>
      <c r="B15" s="5" t="inlineStr">
        <is>
          <t>Eligible data breaches are notified to the OAIC and affected individuals as soon as practicable.</t>
        </is>
      </c>
      <c r="C15" s="5" t="inlineStr">
        <is>
          <t>Part IIIC</t>
        </is>
      </c>
      <c r="D15" s="14" t="inlineStr">
        <is>
          <t>Not assessed</t>
        </is>
      </c>
      <c r="E15" s="14" t="n"/>
      <c r="F15" s="14" t="n"/>
      <c r="G15" s="14" t="n"/>
      <c r="H15" s="15" t="n"/>
    </row>
    <row r="16">
      <c r="A16" s="6" t="n">
        <v>11</v>
      </c>
      <c r="B16" s="5" t="inlineStr">
        <is>
          <t>Service provider contracts cover data handling, security and breach notification.</t>
        </is>
      </c>
      <c r="C16" s="5" t="inlineStr">
        <is>
          <t>APP 11; good practice</t>
        </is>
      </c>
      <c r="D16" s="14" t="inlineStr">
        <is>
          <t>Not assessed</t>
        </is>
      </c>
      <c r="E16" s="14" t="n"/>
      <c r="F16" s="14" t="n"/>
      <c r="G16" s="14" t="n"/>
      <c r="H16" s="15" t="n"/>
    </row>
    <row r="17">
      <c r="A17" s="6" t="n">
        <v>12</v>
      </c>
      <c r="B17" s="5" t="inlineStr">
        <is>
          <t>Staff receive privacy and data security training.</t>
        </is>
      </c>
      <c r="C17" s="5" t="inlineStr">
        <is>
          <t>Good practice</t>
        </is>
      </c>
      <c r="D17" s="14" t="inlineStr">
        <is>
          <t>Not assessed</t>
        </is>
      </c>
      <c r="E17" s="14" t="n"/>
      <c r="F17" s="14" t="n"/>
      <c r="G17" s="14" t="n"/>
      <c r="H17" s="15" t="n"/>
    </row>
  </sheetData>
  <conditionalFormatting sqref="D6:D17">
    <cfRule type="expression" priority="1" dxfId="0">
      <formula>D6="Met"</formula>
    </cfRule>
    <cfRule type="expression" priority="2" dxfId="1">
      <formula>D6="Partly met"</formula>
    </cfRule>
    <cfRule type="expression" priority="3" dxfId="2">
      <formula>D6="Not met"</formula>
    </cfRule>
  </conditionalFormatting>
  <dataValidations count="1">
    <dataValidation sqref="D6:D17" showDropDown="0" showInputMessage="0" showErrorMessage="1" allowBlank="1" error="Please choose a value from the drop-down list." type="list">
      <formula1>=Lists!$A$2:$A$6</formula1>
    </dataValidation>
  </dataValidation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A6"/>
  <sheetViews>
    <sheetView workbookViewId="0">
      <selection activeCell="A1" sqref="A1"/>
    </sheetView>
  </sheetViews>
  <sheetFormatPr baseColWidth="8" defaultRowHeight="15"/>
  <sheetData>
    <row r="1">
      <c r="A1" t="inlineStr">
        <is>
          <t>Status</t>
        </is>
      </c>
    </row>
    <row r="2">
      <c r="A2" t="inlineStr">
        <is>
          <t>Met</t>
        </is>
      </c>
    </row>
    <row r="3">
      <c r="A3" t="inlineStr">
        <is>
          <t>Partly met</t>
        </is>
      </c>
    </row>
    <row r="4">
      <c r="A4" t="inlineStr">
        <is>
          <t>Not met</t>
        </is>
      </c>
    </row>
    <row r="5">
      <c r="A5" t="inlineStr">
        <is>
          <t>Not applicable</t>
        </is>
      </c>
    </row>
    <row r="6">
      <c r="A6" t="inlineStr">
        <is>
          <t>Not assessed</t>
        </is>
      </c>
    </row>
  </sheetData>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2026-10-08T15:33:17Z</dcterms:created>
  <dcterms:modified xmlns:dcterms="http://purl.org/dc/terms/" xmlns:xsi="http://www.w3.org/2001/XMLSchema-instance" xsi:type="dcterms:W3CDTF">2026-10-08T15:33:17Z</dcterms:modified>
</cp:coreProperties>
</file>